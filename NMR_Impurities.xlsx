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tcloud-my.sharepoint.com/personal/pwljus001_myuct_ac_za/Documents/6_UCT/"/>
    </mc:Choice>
  </mc:AlternateContent>
  <xr:revisionPtr revIDLastSave="692" documentId="8_{AC23EF29-69B1-4E04-896D-74A284261976}" xr6:coauthVersionLast="47" xr6:coauthVersionMax="47" xr10:uidLastSave="{D5168382-FA1E-4EE7-ABB1-36CF91F1AAB3}"/>
  <bookViews>
    <workbookView minimized="1" xWindow="1152" yWindow="1152" windowWidth="17280" windowHeight="8880" xr2:uid="{00000000-000D-0000-FFFF-FFFF00000000}"/>
  </bookViews>
  <sheets>
    <sheet name="Peak Matcher" sheetId="6" r:id="rId1"/>
    <sheet name="Shift Table" sheetId="5" r:id="rId2"/>
    <sheet name="Compound Lis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6" l="1" a="1"/>
  <c r="A6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<sst xmlns="http://schemas.openxmlformats.org/spreadsheetml/2006/main" count="709" uniqueCount="134">
  <si>
    <t>Type</t>
  </si>
  <si>
    <t>Compound</t>
  </si>
  <si>
    <t>Group</t>
  </si>
  <si>
    <t>DMSO-d6</t>
  </si>
  <si>
    <t>1H</t>
  </si>
  <si>
    <t>13C</t>
  </si>
  <si>
    <t xml:space="preserve"> </t>
  </si>
  <si>
    <t>acetic acid</t>
  </si>
  <si>
    <t>acetone</t>
  </si>
  <si>
    <t>acetonitrile</t>
  </si>
  <si>
    <t>benzene</t>
  </si>
  <si>
    <t>tert -butyl alcohol</t>
  </si>
  <si>
    <t>carbon dioxide</t>
  </si>
  <si>
    <t>carbon disulfide</t>
  </si>
  <si>
    <t>carbon tetrachloride</t>
  </si>
  <si>
    <t>chloroform</t>
  </si>
  <si>
    <t>18-crown-6</t>
  </si>
  <si>
    <t>cyclohexane</t>
  </si>
  <si>
    <t>1,2-dichloroethane</t>
  </si>
  <si>
    <t>dichloromethane</t>
  </si>
  <si>
    <t>diethyl ether</t>
  </si>
  <si>
    <t>diglyme</t>
  </si>
  <si>
    <t>dimethylformamide</t>
  </si>
  <si>
    <t>1,4-dioxane</t>
  </si>
  <si>
    <t>DME</t>
  </si>
  <si>
    <t>ethane</t>
  </si>
  <si>
    <t>ethanol</t>
  </si>
  <si>
    <t>ethyl acetate</t>
  </si>
  <si>
    <t>ethylene</t>
  </si>
  <si>
    <t>ethylene glycol</t>
  </si>
  <si>
    <t>hexamethylbenzene</t>
  </si>
  <si>
    <t>n-hexane</t>
  </si>
  <si>
    <t>HMDSO</t>
  </si>
  <si>
    <t>HMPAc</t>
  </si>
  <si>
    <t>imidazole</t>
  </si>
  <si>
    <t>methane</t>
  </si>
  <si>
    <t>methanol</t>
  </si>
  <si>
    <t>nitromethane</t>
  </si>
  <si>
    <t>n-pentane</t>
  </si>
  <si>
    <t>propane</t>
  </si>
  <si>
    <t>2-propanol</t>
  </si>
  <si>
    <t>propylene</t>
  </si>
  <si>
    <t>pyridine</t>
  </si>
  <si>
    <t>pyrrole</t>
  </si>
  <si>
    <t>pyrrolidinee</t>
  </si>
  <si>
    <t>silicone grease</t>
  </si>
  <si>
    <t>tetrahydrofuran</t>
  </si>
  <si>
    <t>toluene</t>
  </si>
  <si>
    <t>triethylamine</t>
  </si>
  <si>
    <t>CO</t>
  </si>
  <si>
    <t>CH3</t>
  </si>
  <si>
    <t>CN</t>
  </si>
  <si>
    <t>CH</t>
  </si>
  <si>
    <t>(CH3)3C</t>
  </si>
  <si>
    <t>CO2</t>
  </si>
  <si>
    <t>CS2</t>
  </si>
  <si>
    <t>CCl4</t>
  </si>
  <si>
    <t>CH2</t>
  </si>
  <si>
    <t>CH3CO</t>
  </si>
  <si>
    <t>C</t>
  </si>
  <si>
    <t>CH2(2,5)</t>
  </si>
  <si>
    <t>CH2(3,4)</t>
  </si>
  <si>
    <t>CH(2)</t>
  </si>
  <si>
    <t>CH(4,5)</t>
  </si>
  <si>
    <t>CH4</t>
  </si>
  <si>
    <t>CH2(2,4)</t>
  </si>
  <si>
    <t>CH2(3)</t>
  </si>
  <si>
    <t>CH(2,6)</t>
  </si>
  <si>
    <t>CH(3,5)</t>
  </si>
  <si>
    <t>CH(4)</t>
  </si>
  <si>
    <t>CH(2,5)</t>
  </si>
  <si>
    <t>CH(3,4)</t>
  </si>
  <si>
    <t>C(1)</t>
  </si>
  <si>
    <t>Solvent</t>
  </si>
  <si>
    <t>Tolerance</t>
  </si>
  <si>
    <t>Nucleus</t>
  </si>
  <si>
    <t>Matched ppm</t>
  </si>
  <si>
    <t>OH</t>
  </si>
  <si>
    <t>Solvent Signal</t>
  </si>
  <si>
    <t>Acetone</t>
  </si>
  <si>
    <t>δ ppm</t>
  </si>
  <si>
    <t>solvent residual signals</t>
  </si>
  <si>
    <t>water</t>
  </si>
  <si>
    <t>s</t>
  </si>
  <si>
    <t>sc</t>
  </si>
  <si>
    <t>t, 7</t>
  </si>
  <si>
    <t>q, 7</t>
  </si>
  <si>
    <t>m</t>
  </si>
  <si>
    <t>q, 7d</t>
  </si>
  <si>
    <t>se</t>
  </si>
  <si>
    <t>br s</t>
  </si>
  <si>
    <t>HMPA</t>
  </si>
  <si>
    <t>d,9.5</t>
  </si>
  <si>
    <t>hydrogen</t>
  </si>
  <si>
    <t>sg</t>
  </si>
  <si>
    <t>t, 7.3</t>
  </si>
  <si>
    <t>sept, 7.3</t>
  </si>
  <si>
    <t>d, 6</t>
  </si>
  <si>
    <t>sept, 6</t>
  </si>
  <si>
    <t>dt, 6.4, 1.5</t>
  </si>
  <si>
    <t>dm, 10</t>
  </si>
  <si>
    <t>dm, 17</t>
  </si>
  <si>
    <t>NH</t>
  </si>
  <si>
    <t>br t</t>
  </si>
  <si>
    <t>CH(2,4,6)</t>
  </si>
  <si>
    <t>q,7</t>
  </si>
  <si>
    <t>tert -butyl alcohol</t>
  </si>
  <si>
    <t>OCH3</t>
  </si>
  <si>
    <t>sc,d</t>
  </si>
  <si>
    <t>CH2CH3</t>
  </si>
  <si>
    <t>H2</t>
  </si>
  <si>
    <t>sc,g</t>
  </si>
  <si>
    <t>CH2(1)</t>
  </si>
  <si>
    <t>CH2(2)</t>
  </si>
  <si>
    <t>Multiplicity</t>
  </si>
  <si>
    <t>−0,06</t>
  </si>
  <si>
    <t>H grease</t>
  </si>
  <si>
    <t>pyrrolidine</t>
  </si>
  <si>
    <t>Impurity</t>
  </si>
  <si>
    <t>Compound List</t>
  </si>
  <si>
    <t>Identify by Chemical Shift</t>
  </si>
  <si>
    <t>Identify by Impurity Name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</si>
  <si>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6</t>
    </r>
  </si>
  <si>
    <r>
      <t>Toluene-d</t>
    </r>
    <r>
      <rPr>
        <b/>
        <vertAlign val="subscript"/>
        <sz val="11"/>
        <color theme="1"/>
        <rFont val="Calibri"/>
        <family val="2"/>
        <scheme val="minor"/>
      </rPr>
      <t>8</t>
    </r>
  </si>
  <si>
    <r>
      <t>CDCl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</si>
  <si>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THF-d</t>
    </r>
    <r>
      <rPr>
        <b/>
        <vertAlign val="subscript"/>
        <sz val="11"/>
        <color theme="1"/>
        <rFont val="Calibri"/>
        <family val="2"/>
        <scheme val="minor"/>
      </rPr>
      <t>8</t>
    </r>
  </si>
  <si>
    <r>
      <t>CD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Cl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</si>
  <si>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Cl</t>
    </r>
  </si>
  <si>
    <r>
      <t>DMSO-d</t>
    </r>
    <r>
      <rPr>
        <b/>
        <vertAlign val="subscript"/>
        <sz val="11"/>
        <color theme="1"/>
        <rFont val="Calibri"/>
        <family val="2"/>
        <scheme val="minor"/>
      </rPr>
      <t>6</t>
    </r>
  </si>
  <si>
    <r>
      <t>CD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CN</t>
    </r>
  </si>
  <si>
    <r>
      <t>TFE-d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</si>
  <si>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CD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OD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</si>
  <si>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</si>
  <si>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THF-d8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</si>
</sst>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3" xfId="0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2" xfId="0" applyFont="1" applyBorder="1" applyAlignment="1">
      <alignment horizontal="center"/>
    </xf>
    <xf numFmtId="2" fontId="0" fillId="0" borderId="1" xfId="0" applyNumberFormat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49EB-5C45-4E14-960F-5B4DCFA3AB19}">
  <dimension ref="A1:I20"/>
  <sheetViews>
    <sheetView tabSelected="1" zoomScale="122" workbookViewId="0">
      <selection activeCell="B13" sqref="B13"/>
    </sheetView>
  </sheetViews>
  <sheetFormatPr defaultRowHeight="14.4" x14ac:dyDescent="0.3"/>
  <cols>
    <col min="1" max="1" width="26.77734375" style="7" customWidth="1"/>
    <col min="2" max="4" width="15.77734375" style="7" customWidth="1"/>
    <col min="6" max="6" width="26.77734375" customWidth="1"/>
    <col min="7" max="9" width="15.77734375" customWidth="1"/>
  </cols>
  <sheetData>
    <row r="1" spans="1:9" ht="15" thickBot="1" x14ac:dyDescent="0.35">
      <c r="A1" s="20" t="s">
        <v>120</v>
      </c>
      <c r="B1" s="20"/>
      <c r="C1" s="20"/>
      <c r="D1" s="20"/>
      <c r="F1" s="20" t="s">
        <v>121</v>
      </c>
      <c r="G1" s="20"/>
      <c r="H1" s="20"/>
      <c r="I1" s="20"/>
    </row>
    <row r="2" spans="1:9" ht="15" thickBot="1" x14ac:dyDescent="0.35">
      <c r="A2" s="15" t="s">
        <v>80</v>
      </c>
      <c r="B2" s="15" t="s">
        <v>73</v>
      </c>
      <c r="C2" s="15" t="s">
        <v>74</v>
      </c>
      <c r="D2" s="15" t="s">
        <v>75</v>
      </c>
      <c r="F2" s="15" t="s">
        <v>118</v>
      </c>
      <c r="G2" s="15" t="s">
        <v>73</v>
      </c>
      <c r="H2" s="15"/>
      <c r="I2" s="15" t="s">
        <v>75</v>
      </c>
    </row>
    <row r="3" spans="1:9" ht="15.6" thickTop="1" thickBot="1" x14ac:dyDescent="0.35">
      <c r="A3" s="9">
        <v>2.5</v>
      </c>
      <c r="B3" s="9" t="s">
        <v>133</v>
      </c>
      <c r="C3" s="9">
        <v>0.1</v>
      </c>
      <c r="D3" s="9" t="s">
        <v>4</v>
      </c>
      <c r="F3" s="9" t="s">
        <v>15</v>
      </c>
      <c r="G3" s="9" t="s">
        <v>3</v>
      </c>
      <c r="H3" s="9"/>
      <c r="I3" s="9" t="s">
        <v>4</v>
      </c>
    </row>
    <row r="4" spans="1:9" ht="15" thickBot="1" x14ac:dyDescent="0.35">
      <c r="A4" s="17"/>
      <c r="B4" s="18"/>
      <c r="C4" s="18"/>
      <c r="D4" s="19"/>
      <c r="F4" s="17"/>
      <c r="G4" s="18"/>
      <c r="H4" s="18"/>
      <c r="I4" s="19"/>
    </row>
    <row r="5" spans="1:9" ht="15" thickBot="1" x14ac:dyDescent="0.35">
      <c r="A5" s="10" t="s">
        <v>1</v>
      </c>
      <c r="B5" s="10" t="s">
        <v>2</v>
      </c>
      <c r="C5" s="10" t="s">
        <v>76</v>
      </c>
      <c r="D5" s="10" t="s">
        <v>114</v>
      </c>
      <c r="F5" s="8" t="s">
        <v>1</v>
      </c>
      <c r="G5" s="10" t="s">
        <v>2</v>
      </c>
      <c r="H5" s="8" t="s">
        <v>80</v>
      </c>
      <c r="I5" s="10" t="s">
        <v>114</v>
      </c>
    </row>
    <row r="6" spans="1:9" s="7" customFormat="1" ht="15" thickTop="1" x14ac:dyDescent="0.3">
      <c r="A6" s="7" t="str" cm="1">
        <f t="array" ref="A6:D8">_xlfn.LET(
  _xlpm.solventCol, MATCH(B3, 'Shift Table'!D1:Z1, 0),
  _xlpm.rawVals, INDEX('Shift Table'!D2:Z1000,, _xlpm.solventCol),
  _xlpm.ppmValues, IFERROR(_xlfn.NUMBERVALUE(SUBSTITUTE(_xlpm.rawVals,"−","-")),""),
  _xlpm.mask, (_xlpm.ppmValues&lt;&gt;"") * (ABS(_xlpm.ppmValues - A3) &lt;= C3) * ('Shift Table'!A2:A1000 = D3),
  _xlfn._xlws.FILTER(
    CHOOSE({1,2,3,4}, 'Shift Table'!B2:B1000, 'Shift Table'!C2:C1000, _xlpm.ppmValues, 'Shift Table'!D2:D1000),
    _xlpm.mask,
    "No matches"
  )
)</f>
        <v>water</v>
      </c>
      <c r="B6" s="7" t="str">
        <v>OH</v>
      </c>
      <c r="C6" s="7">
        <v>2.46</v>
      </c>
      <c r="D6" s="7" t="str">
        <v>s</v>
      </c>
      <c r="F6" s="7" t="str" cm="1">
        <f t="array" ref="F6:I6">_xlfn.LET(
  _xlpm.solventCol, MATCH(G3, 'Shift Table'!D1:Z1, 0),
  _xlpm.rawVals, INDEX('Shift Table'!D2:Z1000,, _xlpm.solventCol),
  _xlpm.ppmValues, IFERROR(_xlfn.NUMBERVALUE(SUBSTITUTE(_xlpm.rawVals,"−","-")),""),
  _xlpm.mask, (_xlpm.ppmValues&lt;&gt;"") * ISNUMBER(SEARCH(F3, 'Shift Table'!B2:B1000)) * ('Shift Table'!A2:A1000 = I3),
  _xlfn._xlws.FILTER(
    CHOOSE({1,2,3,4}, 'Shift Table'!B2:B1000, 'Shift Table'!C2:C1000, _xlpm.ppmValues, 'Shift Table'!D2:D1000),
    _xlpm.mask,
    "No matches"
  )
)</f>
        <v>chloroform</v>
      </c>
      <c r="G6" s="7" t="str">
        <v>CH</v>
      </c>
      <c r="H6" s="7">
        <v>8.32</v>
      </c>
      <c r="I6" s="7" t="str">
        <v>s</v>
      </c>
    </row>
    <row r="7" spans="1:9" s="7" customFormat="1" x14ac:dyDescent="0.3">
      <c r="A7" s="7" t="str">
        <v>HMPA</v>
      </c>
      <c r="B7" s="7" t="str">
        <v>CH3</v>
      </c>
      <c r="C7" s="7">
        <v>2.58</v>
      </c>
      <c r="D7" s="7" t="str">
        <v>d,9.5</v>
      </c>
    </row>
    <row r="8" spans="1:9" s="7" customFormat="1" x14ac:dyDescent="0.3">
      <c r="A8" s="7" t="str">
        <v>triethylamine</v>
      </c>
      <c r="B8" s="7" t="str">
        <v>CH2</v>
      </c>
      <c r="C8" s="7">
        <v>2.46</v>
      </c>
      <c r="D8" s="7" t="str">
        <v>q,7</v>
      </c>
    </row>
    <row r="9" spans="1:9" s="7" customFormat="1" x14ac:dyDescent="0.3"/>
    <row r="10" spans="1:9" s="7" customFormat="1" x14ac:dyDescent="0.3"/>
    <row r="11" spans="1:9" s="7" customFormat="1" x14ac:dyDescent="0.3"/>
    <row r="12" spans="1:9" s="7" customFormat="1" x14ac:dyDescent="0.3"/>
    <row r="13" spans="1:9" s="7" customFormat="1" x14ac:dyDescent="0.3"/>
    <row r="14" spans="1:9" s="7" customFormat="1" x14ac:dyDescent="0.3"/>
    <row r="15" spans="1:9" s="7" customFormat="1" x14ac:dyDescent="0.3"/>
    <row r="16" spans="1:9" s="7" customFormat="1" x14ac:dyDescent="0.3"/>
    <row r="17" s="7" customFormat="1" x14ac:dyDescent="0.3"/>
    <row r="18" s="7" customFormat="1" x14ac:dyDescent="0.3"/>
    <row r="19" s="7" customFormat="1" x14ac:dyDescent="0.3"/>
    <row r="20" s="7" customFormat="1" x14ac:dyDescent="0.3"/>
  </sheetData>
  <mergeCells count="4">
    <mergeCell ref="A4:D4"/>
    <mergeCell ref="F4:I4"/>
    <mergeCell ref="A1:D1"/>
    <mergeCell ref="F1:I1"/>
  </mergeCells>
  <dataValidations count="1">
    <dataValidation type="list" allowBlank="1" showInputMessage="1" showErrorMessage="1" sqref="D3 I3" xr:uid="{729E1536-96F1-4302-8549-8A110B5DD5B8}">
      <formula1>"1H,13C"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4F8741-95D4-495C-8F3B-070AC6A854E4}">
          <x14:formula1>
            <xm:f>'Shift Table'!$E$1:$P$1</xm:f>
          </x14:formula1>
          <xm:sqref>G3 B3</xm:sqref>
        </x14:dataValidation>
        <x14:dataValidation type="list" allowBlank="1" showInputMessage="1" showErrorMessage="1" xr:uid="{5FC6E3B1-7274-4B88-A378-B0BA726BF73D}">
          <x14:formula1>
            <xm:f>'Compound List'!$A$2:$A$49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9ABC-6D29-4CA9-8225-EA656FD658A6}">
  <dimension ref="A1:Q161"/>
  <sheetViews>
    <sheetView zoomScale="70" zoomScaleNormal="70" workbookViewId="0">
      <pane ySplit="1" topLeftCell="A2" activePane="bottomLeft" state="frozen"/>
      <selection pane="bottomLeft" activeCell="R23" sqref="R23"/>
    </sheetView>
  </sheetViews>
  <sheetFormatPr defaultRowHeight="14.4" x14ac:dyDescent="0.3"/>
  <cols>
    <col min="2" max="2" width="30.77734375" customWidth="1"/>
    <col min="4" max="17" width="15.77734375" customWidth="1"/>
    <col min="18" max="18" width="20.5546875" customWidth="1"/>
  </cols>
  <sheetData>
    <row r="1" spans="1:17" ht="16.2" thickBot="1" x14ac:dyDescent="0.35">
      <c r="A1" s="6" t="s">
        <v>0</v>
      </c>
      <c r="B1" s="6" t="s">
        <v>1</v>
      </c>
      <c r="C1" s="6" t="s">
        <v>2</v>
      </c>
      <c r="D1" s="6" t="s">
        <v>114</v>
      </c>
      <c r="E1" s="6" t="s">
        <v>125</v>
      </c>
      <c r="F1" s="6" t="s">
        <v>126</v>
      </c>
      <c r="G1" s="6" t="s">
        <v>124</v>
      </c>
      <c r="H1" s="6" t="s">
        <v>123</v>
      </c>
      <c r="I1" s="6" t="s">
        <v>122</v>
      </c>
      <c r="J1" s="6" t="s">
        <v>127</v>
      </c>
      <c r="K1" s="6" t="s">
        <v>79</v>
      </c>
      <c r="L1" s="6" t="s">
        <v>128</v>
      </c>
      <c r="M1" s="6" t="s">
        <v>129</v>
      </c>
      <c r="N1" s="6" t="s">
        <v>130</v>
      </c>
      <c r="O1" s="6" t="s">
        <v>131</v>
      </c>
      <c r="P1" s="6" t="s">
        <v>132</v>
      </c>
      <c r="Q1" s="13"/>
    </row>
    <row r="2" spans="1:17" ht="15" thickTop="1" x14ac:dyDescent="0.3">
      <c r="A2" s="5" t="s">
        <v>4</v>
      </c>
      <c r="B2" s="3" t="s">
        <v>81</v>
      </c>
      <c r="C2" s="3"/>
      <c r="D2" s="3"/>
      <c r="E2" s="3">
        <v>1.72</v>
      </c>
      <c r="F2" s="3">
        <v>5.32</v>
      </c>
      <c r="G2" s="3">
        <v>7.26</v>
      </c>
      <c r="H2" s="3">
        <v>2.08</v>
      </c>
      <c r="I2" s="3">
        <v>7.16</v>
      </c>
      <c r="J2" s="3">
        <v>6.96</v>
      </c>
      <c r="K2" s="3">
        <v>2.0499999999999998</v>
      </c>
      <c r="L2" s="3">
        <v>2.5</v>
      </c>
      <c r="M2" s="3">
        <v>1.94</v>
      </c>
      <c r="N2" s="3">
        <v>5.0199999999999996</v>
      </c>
      <c r="O2" s="3">
        <v>3.31</v>
      </c>
      <c r="P2" s="3">
        <v>4.79</v>
      </c>
    </row>
    <row r="3" spans="1:17" x14ac:dyDescent="0.3">
      <c r="A3" s="5" t="s">
        <v>4</v>
      </c>
      <c r="B3" s="3" t="s">
        <v>81</v>
      </c>
      <c r="C3" s="1"/>
      <c r="D3" s="1"/>
      <c r="E3" s="1">
        <v>3.58</v>
      </c>
      <c r="F3" s="1"/>
      <c r="G3" s="1"/>
      <c r="H3" s="1">
        <v>6.97</v>
      </c>
      <c r="I3" s="1"/>
      <c r="J3" s="1">
        <v>6.99</v>
      </c>
      <c r="K3" s="1"/>
      <c r="L3" s="1"/>
      <c r="M3" s="1"/>
      <c r="N3" s="1">
        <v>3.88</v>
      </c>
      <c r="O3" s="1"/>
      <c r="P3" s="1"/>
    </row>
    <row r="4" spans="1:17" x14ac:dyDescent="0.3">
      <c r="A4" s="5" t="s">
        <v>4</v>
      </c>
      <c r="B4" s="3" t="s">
        <v>81</v>
      </c>
      <c r="C4" s="1"/>
      <c r="D4" s="1"/>
      <c r="E4" s="1"/>
      <c r="F4" s="1"/>
      <c r="G4" s="1"/>
      <c r="H4" s="1">
        <v>7.01</v>
      </c>
      <c r="I4" s="1"/>
      <c r="J4" s="1">
        <v>7.14</v>
      </c>
      <c r="K4" s="1"/>
      <c r="L4" s="1"/>
      <c r="M4" s="1"/>
      <c r="N4" s="1"/>
      <c r="O4" s="1"/>
      <c r="P4" s="1"/>
    </row>
    <row r="5" spans="1:17" x14ac:dyDescent="0.3">
      <c r="A5" s="5" t="s">
        <v>4</v>
      </c>
      <c r="B5" s="3" t="s">
        <v>81</v>
      </c>
      <c r="C5" s="1"/>
      <c r="D5" s="1"/>
      <c r="E5" s="1"/>
      <c r="F5" s="1"/>
      <c r="G5" s="1"/>
      <c r="H5" s="1">
        <v>7.09</v>
      </c>
      <c r="I5" s="1"/>
      <c r="J5" s="1"/>
      <c r="K5" s="1"/>
      <c r="L5" s="1"/>
      <c r="M5" s="1"/>
      <c r="N5" s="1"/>
      <c r="O5" s="1"/>
      <c r="P5" s="1"/>
    </row>
    <row r="6" spans="1:17" x14ac:dyDescent="0.3">
      <c r="A6" s="5" t="s">
        <v>4</v>
      </c>
      <c r="B6" s="3" t="s">
        <v>81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7" x14ac:dyDescent="0.3">
      <c r="A7" s="1" t="s">
        <v>4</v>
      </c>
      <c r="B7" s="1" t="s">
        <v>82</v>
      </c>
      <c r="C7" s="1" t="s">
        <v>77</v>
      </c>
      <c r="D7" s="1" t="s">
        <v>83</v>
      </c>
      <c r="E7" s="1">
        <v>2.46</v>
      </c>
      <c r="F7" s="1">
        <v>1.52</v>
      </c>
      <c r="G7" s="1">
        <v>1.56</v>
      </c>
      <c r="H7" s="1">
        <v>0.43</v>
      </c>
      <c r="I7" s="1">
        <v>0.4</v>
      </c>
      <c r="J7" s="1">
        <v>1.03</v>
      </c>
      <c r="K7" s="1">
        <v>2.84</v>
      </c>
      <c r="L7" s="1">
        <v>3.33</v>
      </c>
      <c r="M7" s="1">
        <v>2.13</v>
      </c>
      <c r="N7" s="1">
        <v>3.66</v>
      </c>
      <c r="O7" s="1">
        <v>4.87</v>
      </c>
      <c r="P7" s="1"/>
    </row>
    <row r="8" spans="1:17" x14ac:dyDescent="0.3">
      <c r="A8" s="1" t="s">
        <v>4</v>
      </c>
      <c r="B8" s="1" t="s">
        <v>7</v>
      </c>
      <c r="C8" s="1" t="s">
        <v>50</v>
      </c>
      <c r="D8" s="1" t="s">
        <v>83</v>
      </c>
      <c r="E8" s="1">
        <v>1.89</v>
      </c>
      <c r="F8" s="1">
        <v>2.06</v>
      </c>
      <c r="G8" s="1">
        <v>2.1</v>
      </c>
      <c r="H8" s="1">
        <v>1.57</v>
      </c>
      <c r="I8" s="1">
        <v>1.52</v>
      </c>
      <c r="J8" s="1">
        <v>1.76</v>
      </c>
      <c r="K8" s="1">
        <v>1.96</v>
      </c>
      <c r="L8" s="1">
        <v>1.91</v>
      </c>
      <c r="M8" s="1">
        <v>1.96</v>
      </c>
      <c r="N8" s="1">
        <v>2.06</v>
      </c>
      <c r="O8" s="1">
        <v>1.99</v>
      </c>
      <c r="P8" s="1">
        <v>2.08</v>
      </c>
    </row>
    <row r="9" spans="1:17" x14ac:dyDescent="0.3">
      <c r="A9" s="1" t="s">
        <v>4</v>
      </c>
      <c r="B9" s="1" t="s">
        <v>8</v>
      </c>
      <c r="C9" s="1" t="s">
        <v>50</v>
      </c>
      <c r="D9" s="1" t="s">
        <v>83</v>
      </c>
      <c r="E9" s="1">
        <v>2.0499999999999998</v>
      </c>
      <c r="F9" s="1">
        <v>2.12</v>
      </c>
      <c r="G9" s="1">
        <v>2.17</v>
      </c>
      <c r="H9" s="1">
        <v>1.57</v>
      </c>
      <c r="I9" s="1">
        <v>1.55</v>
      </c>
      <c r="J9" s="1">
        <v>1.77</v>
      </c>
      <c r="K9" s="1">
        <v>2.09</v>
      </c>
      <c r="L9" s="1">
        <v>2.09</v>
      </c>
      <c r="M9" s="1">
        <v>2.08</v>
      </c>
      <c r="N9" s="1">
        <v>2.19</v>
      </c>
      <c r="O9" s="1">
        <v>2.15</v>
      </c>
      <c r="P9" s="1">
        <v>2.2200000000000002</v>
      </c>
    </row>
    <row r="10" spans="1:17" x14ac:dyDescent="0.3">
      <c r="A10" s="1" t="s">
        <v>4</v>
      </c>
      <c r="B10" s="1" t="s">
        <v>9</v>
      </c>
      <c r="C10" s="1" t="s">
        <v>50</v>
      </c>
      <c r="D10" s="1" t="s">
        <v>83</v>
      </c>
      <c r="E10" s="1">
        <v>1.95</v>
      </c>
      <c r="F10" s="1">
        <v>1.97</v>
      </c>
      <c r="G10" s="1">
        <v>2.1</v>
      </c>
      <c r="H10" s="1">
        <v>0.69</v>
      </c>
      <c r="I10" s="1">
        <v>0.57999999999999996</v>
      </c>
      <c r="J10" s="1">
        <v>1.21</v>
      </c>
      <c r="K10" s="1">
        <v>2.0499999999999998</v>
      </c>
      <c r="L10" s="1">
        <v>2.0699999999999998</v>
      </c>
      <c r="M10" s="1">
        <v>1.96</v>
      </c>
      <c r="N10" s="1">
        <v>1.95</v>
      </c>
      <c r="O10" s="1">
        <v>2.0299999999999998</v>
      </c>
      <c r="P10" s="1">
        <v>2.06</v>
      </c>
    </row>
    <row r="11" spans="1:17" x14ac:dyDescent="0.3">
      <c r="A11" s="1" t="s">
        <v>4</v>
      </c>
      <c r="B11" s="1" t="s">
        <v>10</v>
      </c>
      <c r="C11" s="1" t="s">
        <v>52</v>
      </c>
      <c r="D11" s="1" t="s">
        <v>83</v>
      </c>
      <c r="E11" s="1">
        <v>7.31</v>
      </c>
      <c r="F11" s="1">
        <v>7.35</v>
      </c>
      <c r="G11" s="1">
        <v>7.36</v>
      </c>
      <c r="H11" s="1">
        <v>7.12</v>
      </c>
      <c r="I11" s="1">
        <v>7.15</v>
      </c>
      <c r="J11" s="1">
        <v>7.2</v>
      </c>
      <c r="K11" s="1">
        <v>7.36</v>
      </c>
      <c r="L11" s="1">
        <v>7.37</v>
      </c>
      <c r="M11" s="1">
        <v>7.37</v>
      </c>
      <c r="N11" s="1">
        <v>7.36</v>
      </c>
      <c r="O11" s="1">
        <v>7.33</v>
      </c>
      <c r="P11" s="1"/>
    </row>
    <row r="12" spans="1:17" x14ac:dyDescent="0.3">
      <c r="A12" s="1" t="s">
        <v>4</v>
      </c>
      <c r="B12" s="1" t="s">
        <v>106</v>
      </c>
      <c r="C12" s="1" t="s">
        <v>50</v>
      </c>
      <c r="D12" s="1" t="s">
        <v>83</v>
      </c>
      <c r="E12" s="1">
        <v>1.1499999999999999</v>
      </c>
      <c r="F12" s="1">
        <v>1.24</v>
      </c>
      <c r="G12" s="1">
        <v>1.28</v>
      </c>
      <c r="H12" s="1">
        <v>1.03</v>
      </c>
      <c r="I12" s="1">
        <v>1.05</v>
      </c>
      <c r="J12" s="1">
        <v>1.1200000000000001</v>
      </c>
      <c r="K12" s="1">
        <v>1.18</v>
      </c>
      <c r="L12" s="1">
        <v>1.1100000000000001</v>
      </c>
      <c r="M12" s="1">
        <v>1.1599999999999999</v>
      </c>
      <c r="N12" s="1">
        <v>1.28</v>
      </c>
      <c r="O12" s="1">
        <v>1.4</v>
      </c>
      <c r="P12" s="1">
        <v>1.24</v>
      </c>
    </row>
    <row r="13" spans="1:17" x14ac:dyDescent="0.3">
      <c r="A13" s="1" t="s">
        <v>4</v>
      </c>
      <c r="B13" s="1" t="s">
        <v>106</v>
      </c>
      <c r="C13" s="1" t="s">
        <v>77</v>
      </c>
      <c r="D13" s="1" t="s">
        <v>84</v>
      </c>
      <c r="E13" s="1">
        <v>3.16</v>
      </c>
      <c r="F13" s="1"/>
      <c r="G13" s="1"/>
      <c r="H13" s="1">
        <v>0.57999999999999996</v>
      </c>
      <c r="I13" s="1">
        <v>0.63</v>
      </c>
      <c r="J13" s="1">
        <v>1.3</v>
      </c>
      <c r="K13" s="1"/>
      <c r="L13" s="1">
        <v>4.1900000000000004</v>
      </c>
      <c r="M13" s="1">
        <v>2.1800000000000002</v>
      </c>
      <c r="N13" s="1">
        <v>2.2000000000000002</v>
      </c>
      <c r="O13" s="1"/>
      <c r="P13" s="1"/>
    </row>
    <row r="14" spans="1:17" x14ac:dyDescent="0.3">
      <c r="A14" s="1" t="s">
        <v>4</v>
      </c>
      <c r="B14" s="1" t="s">
        <v>15</v>
      </c>
      <c r="C14" s="1" t="s">
        <v>52</v>
      </c>
      <c r="D14" s="1" t="s">
        <v>83</v>
      </c>
      <c r="E14" s="1">
        <v>7.89</v>
      </c>
      <c r="F14" s="1">
        <v>7.32</v>
      </c>
      <c r="G14" s="1">
        <v>7.26</v>
      </c>
      <c r="H14" s="1">
        <v>6.1</v>
      </c>
      <c r="I14" s="1">
        <v>6.15</v>
      </c>
      <c r="J14" s="1">
        <v>6.74</v>
      </c>
      <c r="K14" s="1">
        <v>8.02</v>
      </c>
      <c r="L14" s="1">
        <v>8.32</v>
      </c>
      <c r="M14" s="1">
        <v>7.58</v>
      </c>
      <c r="N14" s="1">
        <v>7.33</v>
      </c>
      <c r="O14" s="1">
        <v>7.9</v>
      </c>
      <c r="P14" s="1"/>
    </row>
    <row r="15" spans="1:17" x14ac:dyDescent="0.3">
      <c r="A15" s="1" t="s">
        <v>4</v>
      </c>
      <c r="B15" s="1" t="s">
        <v>16</v>
      </c>
      <c r="C15" s="1" t="s">
        <v>57</v>
      </c>
      <c r="D15" s="1" t="s">
        <v>83</v>
      </c>
      <c r="E15" s="1">
        <v>3.57</v>
      </c>
      <c r="F15" s="1">
        <v>3.59</v>
      </c>
      <c r="G15" s="1">
        <v>3.67</v>
      </c>
      <c r="H15" s="1">
        <v>3.36</v>
      </c>
      <c r="I15" s="1">
        <v>3.39</v>
      </c>
      <c r="J15" s="1">
        <v>3.41</v>
      </c>
      <c r="K15" s="1">
        <v>3.59</v>
      </c>
      <c r="L15" s="1">
        <v>3.51</v>
      </c>
      <c r="M15" s="1">
        <v>3.51</v>
      </c>
      <c r="N15" s="1">
        <v>3.64</v>
      </c>
      <c r="O15" s="1">
        <v>3.64</v>
      </c>
      <c r="P15" s="1">
        <v>3.8</v>
      </c>
    </row>
    <row r="16" spans="1:17" x14ac:dyDescent="0.3">
      <c r="A16" s="1" t="s">
        <v>4</v>
      </c>
      <c r="B16" s="1" t="s">
        <v>17</v>
      </c>
      <c r="C16" s="1" t="s">
        <v>57</v>
      </c>
      <c r="D16" s="1" t="s">
        <v>83</v>
      </c>
      <c r="E16" s="1">
        <v>1.44</v>
      </c>
      <c r="F16" s="1">
        <v>1.44</v>
      </c>
      <c r="G16" s="1">
        <v>1.43</v>
      </c>
      <c r="H16" s="1">
        <v>1.4</v>
      </c>
      <c r="I16" s="1">
        <v>1.4</v>
      </c>
      <c r="J16" s="1">
        <v>1.37</v>
      </c>
      <c r="K16" s="1">
        <v>1.43</v>
      </c>
      <c r="L16" s="1">
        <v>1.4</v>
      </c>
      <c r="M16" s="1">
        <v>1.44</v>
      </c>
      <c r="N16" s="1">
        <v>1.47</v>
      </c>
      <c r="O16" s="1">
        <v>1.45</v>
      </c>
      <c r="P16" s="1"/>
    </row>
    <row r="17" spans="1:16" x14ac:dyDescent="0.3">
      <c r="A17" s="1" t="s">
        <v>4</v>
      </c>
      <c r="B17" s="1" t="s">
        <v>18</v>
      </c>
      <c r="C17" s="1" t="s">
        <v>57</v>
      </c>
      <c r="D17" s="1" t="s">
        <v>83</v>
      </c>
      <c r="E17" s="1">
        <v>3.77</v>
      </c>
      <c r="F17" s="1">
        <v>3.76</v>
      </c>
      <c r="G17" s="1">
        <v>3.73</v>
      </c>
      <c r="H17" s="1">
        <v>2.91</v>
      </c>
      <c r="I17" s="1">
        <v>2.9</v>
      </c>
      <c r="J17" s="1">
        <v>3.26</v>
      </c>
      <c r="K17" s="1">
        <v>3.87</v>
      </c>
      <c r="L17" s="1">
        <v>3.9</v>
      </c>
      <c r="M17" s="1">
        <v>3.81</v>
      </c>
      <c r="N17" s="1">
        <v>3.71</v>
      </c>
      <c r="O17" s="1">
        <v>3.78</v>
      </c>
      <c r="P17" s="1"/>
    </row>
    <row r="18" spans="1:16" x14ac:dyDescent="0.3">
      <c r="A18" s="1" t="s">
        <v>4</v>
      </c>
      <c r="B18" s="1" t="s">
        <v>19</v>
      </c>
      <c r="C18" s="1" t="s">
        <v>57</v>
      </c>
      <c r="D18" s="1" t="s">
        <v>83</v>
      </c>
      <c r="E18" s="1">
        <v>5.51</v>
      </c>
      <c r="F18" s="1">
        <v>5.33</v>
      </c>
      <c r="G18" s="1">
        <v>5.3</v>
      </c>
      <c r="H18" s="1">
        <v>4.32</v>
      </c>
      <c r="I18" s="1">
        <v>4.2699999999999996</v>
      </c>
      <c r="J18" s="1">
        <v>4.7699999999999996</v>
      </c>
      <c r="K18" s="1">
        <v>5.63</v>
      </c>
      <c r="L18" s="1">
        <v>5.76</v>
      </c>
      <c r="M18" s="1">
        <v>5.44</v>
      </c>
      <c r="N18" s="1">
        <v>5.24</v>
      </c>
      <c r="O18" s="1">
        <v>5.49</v>
      </c>
      <c r="P18" s="1"/>
    </row>
    <row r="19" spans="1:16" x14ac:dyDescent="0.3">
      <c r="A19" s="1" t="s">
        <v>4</v>
      </c>
      <c r="B19" s="1" t="s">
        <v>20</v>
      </c>
      <c r="C19" s="1" t="s">
        <v>50</v>
      </c>
      <c r="D19" s="1" t="s">
        <v>85</v>
      </c>
      <c r="E19" s="1">
        <v>1.1200000000000001</v>
      </c>
      <c r="F19" s="1">
        <v>1.1499999999999999</v>
      </c>
      <c r="G19" s="1">
        <v>1.21</v>
      </c>
      <c r="H19" s="1">
        <v>1.1000000000000001</v>
      </c>
      <c r="I19" s="1">
        <v>1.1100000000000001</v>
      </c>
      <c r="J19" s="1">
        <v>1.1000000000000001</v>
      </c>
      <c r="K19" s="1">
        <v>1.1100000000000001</v>
      </c>
      <c r="L19" s="1">
        <v>1.0900000000000001</v>
      </c>
      <c r="M19" s="1">
        <v>1.1200000000000001</v>
      </c>
      <c r="N19" s="1">
        <v>1.2</v>
      </c>
      <c r="O19" s="1">
        <v>1.18</v>
      </c>
      <c r="P19" s="1">
        <v>1.17</v>
      </c>
    </row>
    <row r="20" spans="1:16" x14ac:dyDescent="0.3">
      <c r="A20" s="1" t="s">
        <v>4</v>
      </c>
      <c r="B20" s="1" t="s">
        <v>20</v>
      </c>
      <c r="C20" s="1" t="s">
        <v>57</v>
      </c>
      <c r="D20" s="1" t="s">
        <v>86</v>
      </c>
      <c r="E20" s="1">
        <v>3.38</v>
      </c>
      <c r="F20" s="1">
        <v>3.43</v>
      </c>
      <c r="G20" s="1">
        <v>3.48</v>
      </c>
      <c r="H20" s="1">
        <v>3.25</v>
      </c>
      <c r="I20" s="1">
        <v>3.26</v>
      </c>
      <c r="J20" s="1">
        <v>3.31</v>
      </c>
      <c r="K20" s="1">
        <v>3.41</v>
      </c>
      <c r="L20" s="1">
        <v>3.38</v>
      </c>
      <c r="M20" s="1">
        <v>3.42</v>
      </c>
      <c r="N20" s="1">
        <v>3.58</v>
      </c>
      <c r="O20" s="1">
        <v>3.49</v>
      </c>
      <c r="P20" s="1">
        <v>3.56</v>
      </c>
    </row>
    <row r="21" spans="1:16" x14ac:dyDescent="0.3">
      <c r="A21" s="1" t="s">
        <v>4</v>
      </c>
      <c r="B21" s="1" t="s">
        <v>21</v>
      </c>
      <c r="C21" s="1" t="s">
        <v>57</v>
      </c>
      <c r="D21" s="1" t="s">
        <v>87</v>
      </c>
      <c r="E21" s="1">
        <v>3.43</v>
      </c>
      <c r="F21" s="1">
        <v>3.57</v>
      </c>
      <c r="G21" s="1">
        <v>3.65</v>
      </c>
      <c r="H21" s="1">
        <v>3.43</v>
      </c>
      <c r="I21" s="1">
        <v>3.46</v>
      </c>
      <c r="J21" s="1">
        <v>3.49</v>
      </c>
      <c r="K21" s="1">
        <v>3.56</v>
      </c>
      <c r="L21" s="1">
        <v>3.51</v>
      </c>
      <c r="M21" s="1">
        <v>3.53</v>
      </c>
      <c r="N21" s="1">
        <v>3.67</v>
      </c>
      <c r="O21" s="1">
        <v>3.61</v>
      </c>
      <c r="P21" s="1">
        <v>3.67</v>
      </c>
    </row>
    <row r="22" spans="1:16" x14ac:dyDescent="0.3">
      <c r="A22" s="1" t="s">
        <v>4</v>
      </c>
      <c r="B22" s="1" t="s">
        <v>21</v>
      </c>
      <c r="C22" s="1" t="s">
        <v>57</v>
      </c>
      <c r="D22" s="1" t="s">
        <v>87</v>
      </c>
      <c r="E22" s="1">
        <v>3.53</v>
      </c>
      <c r="F22" s="1">
        <v>3.5</v>
      </c>
      <c r="G22" s="1">
        <v>3.57</v>
      </c>
      <c r="H22" s="1">
        <v>3.31</v>
      </c>
      <c r="I22" s="1">
        <v>3.34</v>
      </c>
      <c r="J22" s="1">
        <v>3.37</v>
      </c>
      <c r="K22" s="1">
        <v>3.47</v>
      </c>
      <c r="L22" s="1">
        <v>3.38</v>
      </c>
      <c r="M22" s="1">
        <v>3.45</v>
      </c>
      <c r="N22" s="1">
        <v>3.62</v>
      </c>
      <c r="O22" s="1">
        <v>3.58</v>
      </c>
      <c r="P22" s="1">
        <v>3.61</v>
      </c>
    </row>
    <row r="23" spans="1:16" x14ac:dyDescent="0.3">
      <c r="A23" s="2" t="s">
        <v>4</v>
      </c>
      <c r="B23" s="1" t="s">
        <v>21</v>
      </c>
      <c r="C23" s="1" t="s">
        <v>107</v>
      </c>
      <c r="D23" s="1" t="s">
        <v>83</v>
      </c>
      <c r="E23" s="1">
        <v>3.28</v>
      </c>
      <c r="F23" s="1">
        <v>3.33</v>
      </c>
      <c r="G23" s="1">
        <v>3.39</v>
      </c>
      <c r="H23" s="1">
        <v>3.12</v>
      </c>
      <c r="I23" s="1">
        <v>3.11</v>
      </c>
      <c r="J23" s="1">
        <v>3.16</v>
      </c>
      <c r="K23" s="1">
        <v>3.28</v>
      </c>
      <c r="L23" s="1">
        <v>3.24</v>
      </c>
      <c r="M23" s="1">
        <v>3.29</v>
      </c>
      <c r="N23" s="1">
        <v>3.41</v>
      </c>
      <c r="O23" s="1">
        <v>3.35</v>
      </c>
      <c r="P23" s="1">
        <v>3.37</v>
      </c>
    </row>
    <row r="24" spans="1:16" x14ac:dyDescent="0.3">
      <c r="A24" s="5" t="s">
        <v>4</v>
      </c>
      <c r="B24" s="1" t="s">
        <v>22</v>
      </c>
      <c r="C24" s="1" t="s">
        <v>52</v>
      </c>
      <c r="D24" s="1" t="s">
        <v>83</v>
      </c>
      <c r="E24" s="1">
        <v>7.91</v>
      </c>
      <c r="F24" s="1">
        <v>7.96</v>
      </c>
      <c r="G24" s="1">
        <v>8.02</v>
      </c>
      <c r="H24" s="1">
        <v>7.57</v>
      </c>
      <c r="I24" s="1">
        <v>7.63</v>
      </c>
      <c r="J24" s="1">
        <v>7.73</v>
      </c>
      <c r="K24" s="1">
        <v>7.96</v>
      </c>
      <c r="L24" s="1">
        <v>7.95</v>
      </c>
      <c r="M24" s="1">
        <v>7.92</v>
      </c>
      <c r="N24" s="1">
        <v>7.86</v>
      </c>
      <c r="O24" s="1">
        <v>7.97</v>
      </c>
      <c r="P24" s="1">
        <v>7.92</v>
      </c>
    </row>
    <row r="25" spans="1:16" x14ac:dyDescent="0.3">
      <c r="A25" s="1" t="s">
        <v>4</v>
      </c>
      <c r="B25" s="1" t="s">
        <v>22</v>
      </c>
      <c r="C25" s="1" t="s">
        <v>50</v>
      </c>
      <c r="D25" s="1" t="s">
        <v>83</v>
      </c>
      <c r="E25" s="1">
        <v>2.88</v>
      </c>
      <c r="F25" s="1">
        <v>2.91</v>
      </c>
      <c r="G25" s="1">
        <v>2.96</v>
      </c>
      <c r="H25" s="1">
        <v>2.37</v>
      </c>
      <c r="I25" s="1">
        <v>2.36</v>
      </c>
      <c r="J25" s="1">
        <v>2.5099999999999998</v>
      </c>
      <c r="K25" s="1">
        <v>2.94</v>
      </c>
      <c r="L25" s="1">
        <v>2.89</v>
      </c>
      <c r="M25" s="1">
        <v>2.89</v>
      </c>
      <c r="N25" s="1">
        <v>2.98</v>
      </c>
      <c r="O25" s="1">
        <v>2.99</v>
      </c>
      <c r="P25" s="1">
        <v>3.01</v>
      </c>
    </row>
    <row r="26" spans="1:16" x14ac:dyDescent="0.3">
      <c r="A26" s="1" t="s">
        <v>4</v>
      </c>
      <c r="B26" s="1" t="s">
        <v>22</v>
      </c>
      <c r="C26" s="1" t="s">
        <v>50</v>
      </c>
      <c r="D26" s="1" t="s">
        <v>83</v>
      </c>
      <c r="E26" s="1">
        <v>2.76</v>
      </c>
      <c r="F26" s="1">
        <v>2.82</v>
      </c>
      <c r="G26" s="1">
        <v>2.88</v>
      </c>
      <c r="H26" s="1">
        <v>1.96</v>
      </c>
      <c r="I26" s="1">
        <v>1.86</v>
      </c>
      <c r="J26" s="1">
        <v>2.2999999999999998</v>
      </c>
      <c r="K26" s="1">
        <v>2.78</v>
      </c>
      <c r="L26" s="1">
        <v>2.73</v>
      </c>
      <c r="M26" s="1">
        <v>2.77</v>
      </c>
      <c r="N26" s="1">
        <v>2.88</v>
      </c>
      <c r="O26" s="1">
        <v>2.86</v>
      </c>
      <c r="P26" s="1">
        <v>2.85</v>
      </c>
    </row>
    <row r="27" spans="1:16" x14ac:dyDescent="0.3">
      <c r="A27" s="1" t="s">
        <v>4</v>
      </c>
      <c r="B27" s="1" t="s">
        <v>23</v>
      </c>
      <c r="C27" s="1" t="s">
        <v>57</v>
      </c>
      <c r="D27" s="1" t="s">
        <v>83</v>
      </c>
      <c r="E27" s="1">
        <v>3.56</v>
      </c>
      <c r="F27" s="1">
        <v>3.65</v>
      </c>
      <c r="G27" s="1">
        <v>3.71</v>
      </c>
      <c r="H27" s="1">
        <v>3.33</v>
      </c>
      <c r="I27" s="1">
        <v>3.35</v>
      </c>
      <c r="J27" s="1">
        <v>3.45</v>
      </c>
      <c r="K27" s="1">
        <v>3.59</v>
      </c>
      <c r="L27" s="1">
        <v>3.57</v>
      </c>
      <c r="M27" s="1">
        <v>3.6</v>
      </c>
      <c r="N27" s="1">
        <v>3.76</v>
      </c>
      <c r="O27" s="1">
        <v>3.66</v>
      </c>
      <c r="P27" s="1">
        <v>3.75</v>
      </c>
    </row>
    <row r="28" spans="1:16" x14ac:dyDescent="0.3">
      <c r="A28" s="1" t="s">
        <v>4</v>
      </c>
      <c r="B28" s="1" t="s">
        <v>24</v>
      </c>
      <c r="C28" s="1" t="s">
        <v>50</v>
      </c>
      <c r="D28" s="1" t="s">
        <v>83</v>
      </c>
      <c r="E28" s="1">
        <v>3.28</v>
      </c>
      <c r="F28" s="1">
        <v>3.34</v>
      </c>
      <c r="G28" s="1">
        <v>3.4</v>
      </c>
      <c r="H28" s="1">
        <v>3.12</v>
      </c>
      <c r="I28" s="1">
        <v>3.12</v>
      </c>
      <c r="J28" s="1">
        <v>3.17</v>
      </c>
      <c r="K28" s="1">
        <v>3.28</v>
      </c>
      <c r="L28" s="1">
        <v>3.24</v>
      </c>
      <c r="M28" s="1">
        <v>3.28</v>
      </c>
      <c r="N28" s="1">
        <v>3.4</v>
      </c>
      <c r="O28" s="1">
        <v>3.35</v>
      </c>
      <c r="P28" s="1">
        <v>3.37</v>
      </c>
    </row>
    <row r="29" spans="1:16" x14ac:dyDescent="0.3">
      <c r="A29" s="1" t="s">
        <v>4</v>
      </c>
      <c r="B29" s="1" t="s">
        <v>24</v>
      </c>
      <c r="C29" s="1" t="s">
        <v>57</v>
      </c>
      <c r="D29" s="1" t="s">
        <v>83</v>
      </c>
      <c r="E29" s="1">
        <v>3.43</v>
      </c>
      <c r="F29" s="1">
        <v>3.49</v>
      </c>
      <c r="G29" s="1">
        <v>3.55</v>
      </c>
      <c r="H29" s="1">
        <v>3.31</v>
      </c>
      <c r="I29" s="1">
        <v>3.33</v>
      </c>
      <c r="J29" s="1">
        <v>3.37</v>
      </c>
      <c r="K29" s="1">
        <v>3.46</v>
      </c>
      <c r="L29" s="1">
        <v>3.43</v>
      </c>
      <c r="M29" s="1">
        <v>3.45</v>
      </c>
      <c r="N29" s="1">
        <v>3.61</v>
      </c>
      <c r="O29" s="1">
        <v>3.52</v>
      </c>
      <c r="P29" s="1">
        <v>3.6</v>
      </c>
    </row>
    <row r="30" spans="1:16" x14ac:dyDescent="0.3">
      <c r="A30" s="1" t="s">
        <v>4</v>
      </c>
      <c r="B30" s="1" t="s">
        <v>25</v>
      </c>
      <c r="C30" s="1" t="s">
        <v>50</v>
      </c>
      <c r="D30" s="1" t="s">
        <v>83</v>
      </c>
      <c r="E30" s="1">
        <v>0.85</v>
      </c>
      <c r="F30" s="1">
        <v>0.85</v>
      </c>
      <c r="G30" s="1">
        <v>0.87</v>
      </c>
      <c r="H30" s="1">
        <v>0.81</v>
      </c>
      <c r="I30" s="1">
        <v>0.8</v>
      </c>
      <c r="J30" s="1">
        <v>0.79</v>
      </c>
      <c r="K30" s="1">
        <v>0.83</v>
      </c>
      <c r="L30" s="1">
        <v>0.82</v>
      </c>
      <c r="M30" s="1">
        <v>0.85</v>
      </c>
      <c r="N30" s="1">
        <v>0.85</v>
      </c>
      <c r="O30" s="1">
        <v>0.85</v>
      </c>
      <c r="P30" s="1">
        <v>0.82</v>
      </c>
    </row>
    <row r="31" spans="1:16" x14ac:dyDescent="0.3">
      <c r="A31" s="1" t="s">
        <v>4</v>
      </c>
      <c r="B31" s="1" t="s">
        <v>26</v>
      </c>
      <c r="C31" s="1" t="s">
        <v>50</v>
      </c>
      <c r="D31" s="1" t="s">
        <v>85</v>
      </c>
      <c r="E31" s="1">
        <v>1.1000000000000001</v>
      </c>
      <c r="F31" s="1">
        <v>1.19</v>
      </c>
      <c r="G31" s="1">
        <v>1.25</v>
      </c>
      <c r="H31" s="1">
        <v>0.97</v>
      </c>
      <c r="I31" s="1">
        <v>0.96</v>
      </c>
      <c r="J31" s="1">
        <v>1.06</v>
      </c>
      <c r="K31" s="1">
        <v>1.1200000000000001</v>
      </c>
      <c r="L31" s="1">
        <v>1.06</v>
      </c>
      <c r="M31" s="1">
        <v>1.1200000000000001</v>
      </c>
      <c r="N31" s="1">
        <v>1.22</v>
      </c>
      <c r="O31" s="1">
        <v>1.19</v>
      </c>
      <c r="P31" s="1">
        <v>1.17</v>
      </c>
    </row>
    <row r="32" spans="1:16" x14ac:dyDescent="0.3">
      <c r="A32" s="1" t="s">
        <v>4</v>
      </c>
      <c r="B32" s="1" t="s">
        <v>26</v>
      </c>
      <c r="C32" s="1" t="s">
        <v>57</v>
      </c>
      <c r="D32" s="1" t="s">
        <v>88</v>
      </c>
      <c r="E32" s="1">
        <v>3.51</v>
      </c>
      <c r="F32" s="1">
        <v>3.66</v>
      </c>
      <c r="G32" s="1">
        <v>3.72</v>
      </c>
      <c r="H32" s="1">
        <v>3.36</v>
      </c>
      <c r="I32" s="1">
        <v>3.34</v>
      </c>
      <c r="J32" s="1">
        <v>3.51</v>
      </c>
      <c r="K32" s="1">
        <v>3.57</v>
      </c>
      <c r="L32" s="1">
        <v>3.44</v>
      </c>
      <c r="M32" s="1">
        <v>3.54</v>
      </c>
      <c r="N32" s="1">
        <v>3.71</v>
      </c>
      <c r="O32" s="1">
        <v>3.6</v>
      </c>
      <c r="P32" s="1">
        <v>3.65</v>
      </c>
    </row>
    <row r="33" spans="1:16" x14ac:dyDescent="0.3">
      <c r="A33" s="1" t="s">
        <v>4</v>
      </c>
      <c r="B33" s="1" t="s">
        <v>26</v>
      </c>
      <c r="C33" s="1" t="s">
        <v>77</v>
      </c>
      <c r="D33" s="1" t="s">
        <v>108</v>
      </c>
      <c r="E33" s="1">
        <v>3.3</v>
      </c>
      <c r="F33" s="1">
        <v>1.33</v>
      </c>
      <c r="G33" s="1">
        <v>1.32</v>
      </c>
      <c r="H33" s="1">
        <v>0.83</v>
      </c>
      <c r="I33" s="1">
        <v>0.5</v>
      </c>
      <c r="J33" s="1">
        <v>1.39</v>
      </c>
      <c r="K33" s="1">
        <v>3.39</v>
      </c>
      <c r="L33" s="1">
        <v>4.63</v>
      </c>
      <c r="M33" s="1">
        <v>2.4700000000000002</v>
      </c>
      <c r="N33" s="1"/>
      <c r="O33" s="1"/>
      <c r="P33" s="1"/>
    </row>
    <row r="34" spans="1:16" x14ac:dyDescent="0.3">
      <c r="A34" s="1" t="s">
        <v>4</v>
      </c>
      <c r="B34" s="1" t="s">
        <v>27</v>
      </c>
      <c r="C34" s="1" t="s">
        <v>58</v>
      </c>
      <c r="D34" s="1" t="s">
        <v>83</v>
      </c>
      <c r="E34" s="1">
        <v>1.94</v>
      </c>
      <c r="F34" s="1">
        <v>2</v>
      </c>
      <c r="G34" s="1">
        <v>2.0499999999999998</v>
      </c>
      <c r="H34" s="1">
        <v>1.69</v>
      </c>
      <c r="I34" s="1">
        <v>1.65</v>
      </c>
      <c r="J34" s="1">
        <v>1.78</v>
      </c>
      <c r="K34" s="1">
        <v>1.97</v>
      </c>
      <c r="L34" s="1">
        <v>1.99</v>
      </c>
      <c r="M34" s="1">
        <v>1.97</v>
      </c>
      <c r="N34" s="1">
        <v>2.0299999999999998</v>
      </c>
      <c r="O34" s="1">
        <v>2.0099999999999998</v>
      </c>
      <c r="P34" s="1">
        <v>2.0699999999999998</v>
      </c>
    </row>
    <row r="35" spans="1:16" x14ac:dyDescent="0.3">
      <c r="A35" s="1" t="s">
        <v>4</v>
      </c>
      <c r="B35" s="1" t="s">
        <v>27</v>
      </c>
      <c r="C35" s="1" t="s">
        <v>109</v>
      </c>
      <c r="D35" s="1" t="s">
        <v>86</v>
      </c>
      <c r="E35" s="1">
        <v>4.04</v>
      </c>
      <c r="F35" s="1">
        <v>4.08</v>
      </c>
      <c r="G35" s="1">
        <v>4.12</v>
      </c>
      <c r="H35" s="1">
        <v>3.87</v>
      </c>
      <c r="I35" s="1">
        <v>3.89</v>
      </c>
      <c r="J35" s="1">
        <v>3.96</v>
      </c>
      <c r="K35" s="1">
        <v>4.05</v>
      </c>
      <c r="L35" s="1">
        <v>4.03</v>
      </c>
      <c r="M35" s="1">
        <v>4.0599999999999996</v>
      </c>
      <c r="N35" s="1">
        <v>4.1399999999999997</v>
      </c>
      <c r="O35" s="1">
        <v>4.09</v>
      </c>
      <c r="P35" s="1">
        <v>4.1399999999999997</v>
      </c>
    </row>
    <row r="36" spans="1:16" x14ac:dyDescent="0.3">
      <c r="A36" s="1" t="s">
        <v>4</v>
      </c>
      <c r="B36" s="1" t="s">
        <v>27</v>
      </c>
      <c r="C36" s="1" t="s">
        <v>109</v>
      </c>
      <c r="D36" s="1" t="s">
        <v>85</v>
      </c>
      <c r="E36" s="1">
        <v>1.19</v>
      </c>
      <c r="F36" s="1">
        <v>1.23</v>
      </c>
      <c r="G36" s="1">
        <v>1.26</v>
      </c>
      <c r="H36" s="1">
        <v>0.94</v>
      </c>
      <c r="I36" s="1">
        <v>0.92</v>
      </c>
      <c r="J36" s="1">
        <v>1.04</v>
      </c>
      <c r="K36" s="1">
        <v>1.2</v>
      </c>
      <c r="L36" s="1">
        <v>1.17</v>
      </c>
      <c r="M36" s="1">
        <v>1.2</v>
      </c>
      <c r="N36" s="1">
        <v>1.26</v>
      </c>
      <c r="O36" s="1">
        <v>1.24</v>
      </c>
      <c r="P36" s="1">
        <v>1.24</v>
      </c>
    </row>
    <row r="37" spans="1:16" x14ac:dyDescent="0.3">
      <c r="A37" s="1" t="s">
        <v>4</v>
      </c>
      <c r="B37" s="1" t="s">
        <v>28</v>
      </c>
      <c r="C37" s="1" t="s">
        <v>57</v>
      </c>
      <c r="D37" s="1" t="s">
        <v>83</v>
      </c>
      <c r="E37" s="1">
        <v>5.36</v>
      </c>
      <c r="F37" s="1">
        <v>5.4</v>
      </c>
      <c r="G37" s="1">
        <v>5.4</v>
      </c>
      <c r="H37" s="1">
        <v>5.25</v>
      </c>
      <c r="I37" s="1">
        <v>5.25</v>
      </c>
      <c r="J37" s="1">
        <v>5.29</v>
      </c>
      <c r="K37" s="1">
        <v>5.38</v>
      </c>
      <c r="L37" s="1">
        <v>5.41</v>
      </c>
      <c r="M37" s="1">
        <v>5.41</v>
      </c>
      <c r="N37" s="1">
        <v>5.4</v>
      </c>
      <c r="O37" s="1">
        <v>5.39</v>
      </c>
      <c r="P37" s="1">
        <v>5.44</v>
      </c>
    </row>
    <row r="38" spans="1:16" x14ac:dyDescent="0.3">
      <c r="A38" s="1" t="s">
        <v>4</v>
      </c>
      <c r="B38" s="1" t="s">
        <v>29</v>
      </c>
      <c r="C38" s="1" t="s">
        <v>57</v>
      </c>
      <c r="D38" s="1" t="s">
        <v>89</v>
      </c>
      <c r="E38" s="1">
        <v>3.48</v>
      </c>
      <c r="F38" s="1">
        <v>3.66</v>
      </c>
      <c r="G38" s="1">
        <v>3.76</v>
      </c>
      <c r="H38" s="1">
        <v>3.36</v>
      </c>
      <c r="I38" s="1">
        <v>3.41</v>
      </c>
      <c r="J38" s="1">
        <v>3.58</v>
      </c>
      <c r="K38" s="1">
        <v>3.28</v>
      </c>
      <c r="L38" s="1">
        <v>3.34</v>
      </c>
      <c r="M38" s="1">
        <v>3.51</v>
      </c>
      <c r="N38" s="1">
        <v>3.72</v>
      </c>
      <c r="O38" s="1">
        <v>3.59</v>
      </c>
      <c r="P38" s="1">
        <v>3.65</v>
      </c>
    </row>
    <row r="39" spans="1:16" x14ac:dyDescent="0.3">
      <c r="A39" s="1" t="s">
        <v>4</v>
      </c>
      <c r="B39" s="1" t="s">
        <v>116</v>
      </c>
      <c r="C39" s="1" t="s">
        <v>50</v>
      </c>
      <c r="D39" s="1" t="s">
        <v>87</v>
      </c>
      <c r="E39" s="1">
        <v>0.88</v>
      </c>
      <c r="F39" s="1">
        <v>0.87</v>
      </c>
      <c r="G39" s="1">
        <v>0.85499999999999998</v>
      </c>
      <c r="H39" s="1">
        <v>0.92500000000000004</v>
      </c>
      <c r="I39" s="1">
        <v>0.94</v>
      </c>
      <c r="J39" s="1">
        <v>0.9</v>
      </c>
      <c r="K39" s="1">
        <v>0.9</v>
      </c>
      <c r="L39" s="1">
        <v>0.85</v>
      </c>
      <c r="M39" s="1"/>
      <c r="N39" s="1">
        <v>0.91</v>
      </c>
      <c r="O39" s="1">
        <v>0.89500000000000002</v>
      </c>
      <c r="P39" s="1"/>
    </row>
    <row r="40" spans="1:16" x14ac:dyDescent="0.3">
      <c r="A40" s="1" t="s">
        <v>4</v>
      </c>
      <c r="B40" s="1" t="s">
        <v>116</v>
      </c>
      <c r="C40" s="1" t="s">
        <v>57</v>
      </c>
      <c r="D40" s="1" t="s">
        <v>90</v>
      </c>
      <c r="E40" s="1">
        <v>1.29</v>
      </c>
      <c r="F40" s="1">
        <v>1.27</v>
      </c>
      <c r="G40" s="1">
        <v>1.25</v>
      </c>
      <c r="H40" s="1">
        <v>1.33</v>
      </c>
      <c r="I40" s="1">
        <v>1.32</v>
      </c>
      <c r="J40" s="1">
        <v>1.3</v>
      </c>
      <c r="K40" s="1">
        <v>1.29</v>
      </c>
      <c r="L40" s="1">
        <v>1.24</v>
      </c>
      <c r="M40" s="1"/>
      <c r="N40" s="1">
        <v>1.33</v>
      </c>
      <c r="O40" s="1">
        <v>1.29</v>
      </c>
      <c r="P40" s="1"/>
    </row>
    <row r="41" spans="1:16" x14ac:dyDescent="0.3">
      <c r="A41" s="1" t="s">
        <v>4</v>
      </c>
      <c r="B41" s="1" t="s">
        <v>30</v>
      </c>
      <c r="C41" s="1" t="s">
        <v>50</v>
      </c>
      <c r="D41" s="1" t="s">
        <v>83</v>
      </c>
      <c r="E41" s="1">
        <v>2.1800000000000002</v>
      </c>
      <c r="F41" s="1">
        <v>2.2000000000000002</v>
      </c>
      <c r="G41" s="1">
        <v>2.2400000000000002</v>
      </c>
      <c r="H41" s="1">
        <v>2.1</v>
      </c>
      <c r="I41" s="1">
        <v>2.13</v>
      </c>
      <c r="J41" s="1">
        <v>2.1</v>
      </c>
      <c r="K41" s="1">
        <v>2.17</v>
      </c>
      <c r="L41" s="1">
        <v>2.14</v>
      </c>
      <c r="M41" s="1">
        <v>2.19</v>
      </c>
      <c r="N41" s="1">
        <v>2.2400000000000002</v>
      </c>
      <c r="O41" s="1">
        <v>2.19</v>
      </c>
      <c r="P41" s="1"/>
    </row>
    <row r="42" spans="1:16" x14ac:dyDescent="0.3">
      <c r="A42" s="1" t="s">
        <v>4</v>
      </c>
      <c r="B42" s="1" t="s">
        <v>31</v>
      </c>
      <c r="C42" s="1" t="s">
        <v>50</v>
      </c>
      <c r="D42" s="1" t="s">
        <v>85</v>
      </c>
      <c r="E42" s="1">
        <v>0.89</v>
      </c>
      <c r="F42" s="1">
        <v>0.89</v>
      </c>
      <c r="G42" s="1">
        <v>0.88</v>
      </c>
      <c r="H42" s="1">
        <v>0.88</v>
      </c>
      <c r="I42" s="1">
        <v>0.89</v>
      </c>
      <c r="J42" s="1">
        <v>0.85</v>
      </c>
      <c r="K42" s="1">
        <v>0.88</v>
      </c>
      <c r="L42" s="1">
        <v>0.86</v>
      </c>
      <c r="M42" s="1">
        <v>0.89</v>
      </c>
      <c r="N42" s="1">
        <v>0.91</v>
      </c>
      <c r="O42" s="1">
        <v>0.9</v>
      </c>
      <c r="P42" s="1"/>
    </row>
    <row r="43" spans="1:16" x14ac:dyDescent="0.3">
      <c r="A43" s="1" t="s">
        <v>4</v>
      </c>
      <c r="B43" s="1" t="s">
        <v>31</v>
      </c>
      <c r="C43" s="1" t="s">
        <v>57</v>
      </c>
      <c r="D43" s="1" t="s">
        <v>87</v>
      </c>
      <c r="E43" s="1">
        <v>1.29</v>
      </c>
      <c r="F43" s="1">
        <v>1.27</v>
      </c>
      <c r="G43" s="1">
        <v>1.26</v>
      </c>
      <c r="H43" s="1">
        <v>1.22</v>
      </c>
      <c r="I43" s="1">
        <v>1.24</v>
      </c>
      <c r="J43" s="1">
        <v>1.19</v>
      </c>
      <c r="K43" s="1">
        <v>1.28</v>
      </c>
      <c r="L43" s="1">
        <v>1.25</v>
      </c>
      <c r="M43" s="1">
        <v>1.28</v>
      </c>
      <c r="N43" s="1">
        <v>1.31</v>
      </c>
      <c r="O43" s="1">
        <v>1.29</v>
      </c>
      <c r="P43" s="1"/>
    </row>
    <row r="44" spans="1:16" x14ac:dyDescent="0.3">
      <c r="A44" s="1" t="s">
        <v>4</v>
      </c>
      <c r="B44" s="1" t="s">
        <v>32</v>
      </c>
      <c r="C44" s="1" t="s">
        <v>50</v>
      </c>
      <c r="D44" s="1" t="s">
        <v>83</v>
      </c>
      <c r="E44" s="1">
        <v>7.0000000000000007E-2</v>
      </c>
      <c r="F44" s="1">
        <v>7.0000000000000007E-2</v>
      </c>
      <c r="G44" s="1">
        <v>7.0000000000000007E-2</v>
      </c>
      <c r="H44" s="1">
        <v>0.1</v>
      </c>
      <c r="I44" s="1">
        <v>0.12</v>
      </c>
      <c r="J44" s="1">
        <v>0.1</v>
      </c>
      <c r="K44" s="1">
        <v>7.0000000000000007E-2</v>
      </c>
      <c r="L44" s="1">
        <v>0.06</v>
      </c>
      <c r="M44" s="1">
        <v>7.0000000000000007E-2</v>
      </c>
      <c r="N44" s="1">
        <v>0.08</v>
      </c>
      <c r="O44" s="1">
        <v>7.0000000000000007E-2</v>
      </c>
      <c r="P44" s="1">
        <v>0.28000000000000003</v>
      </c>
    </row>
    <row r="45" spans="1:16" x14ac:dyDescent="0.3">
      <c r="A45" s="1" t="s">
        <v>4</v>
      </c>
      <c r="B45" s="1" t="s">
        <v>91</v>
      </c>
      <c r="C45" s="1" t="s">
        <v>50</v>
      </c>
      <c r="D45" s="1" t="s">
        <v>92</v>
      </c>
      <c r="E45" s="1">
        <v>2.58</v>
      </c>
      <c r="F45" s="1">
        <v>2.6</v>
      </c>
      <c r="G45" s="1">
        <v>2.65</v>
      </c>
      <c r="H45" s="1">
        <v>2.42</v>
      </c>
      <c r="I45" s="1">
        <v>2.4</v>
      </c>
      <c r="J45" s="1">
        <v>2.4700000000000002</v>
      </c>
      <c r="K45" s="1">
        <v>2.59</v>
      </c>
      <c r="L45" s="1">
        <v>2.5299999999999998</v>
      </c>
      <c r="M45" s="1">
        <v>2.57</v>
      </c>
      <c r="N45" s="1">
        <v>2.63</v>
      </c>
      <c r="O45" s="1">
        <v>2.64</v>
      </c>
      <c r="P45" s="1">
        <v>2.61</v>
      </c>
    </row>
    <row r="46" spans="1:16" x14ac:dyDescent="0.3">
      <c r="A46" s="1" t="s">
        <v>4</v>
      </c>
      <c r="B46" s="1" t="s">
        <v>93</v>
      </c>
      <c r="C46" s="1" t="s">
        <v>110</v>
      </c>
      <c r="D46" s="1" t="s">
        <v>83</v>
      </c>
      <c r="E46" s="1">
        <v>4.55</v>
      </c>
      <c r="F46" s="1">
        <v>4.59</v>
      </c>
      <c r="G46" s="1">
        <v>4.62</v>
      </c>
      <c r="H46" s="1">
        <v>4.5</v>
      </c>
      <c r="I46" s="1">
        <v>4.47</v>
      </c>
      <c r="J46" s="1">
        <v>4.49</v>
      </c>
      <c r="K46" s="1">
        <v>4.54</v>
      </c>
      <c r="L46" s="1">
        <v>4.6100000000000003</v>
      </c>
      <c r="M46" s="1">
        <v>4.57</v>
      </c>
      <c r="N46" s="1">
        <v>4.53</v>
      </c>
      <c r="O46" s="1">
        <v>4.5599999999999996</v>
      </c>
      <c r="P46" s="1"/>
    </row>
    <row r="47" spans="1:16" x14ac:dyDescent="0.3">
      <c r="A47" s="1" t="s">
        <v>4</v>
      </c>
      <c r="B47" s="1" t="s">
        <v>34</v>
      </c>
      <c r="C47" s="1" t="s">
        <v>62</v>
      </c>
      <c r="D47" s="1" t="s">
        <v>83</v>
      </c>
      <c r="E47" s="1">
        <v>7.48</v>
      </c>
      <c r="F47" s="1">
        <v>7.63</v>
      </c>
      <c r="G47" s="1">
        <v>7.67</v>
      </c>
      <c r="H47" s="1">
        <v>7.3</v>
      </c>
      <c r="I47" s="1">
        <v>7.33</v>
      </c>
      <c r="J47" s="1">
        <v>7.53</v>
      </c>
      <c r="K47" s="1">
        <v>7.62</v>
      </c>
      <c r="L47" s="1">
        <v>7.63</v>
      </c>
      <c r="M47" s="1">
        <v>7.57</v>
      </c>
      <c r="N47" s="1">
        <v>7.61</v>
      </c>
      <c r="O47" s="1">
        <v>7.67</v>
      </c>
      <c r="P47" s="1">
        <v>7.78</v>
      </c>
    </row>
    <row r="48" spans="1:16" x14ac:dyDescent="0.3">
      <c r="A48" s="1" t="s">
        <v>4</v>
      </c>
      <c r="B48" s="1" t="s">
        <v>34</v>
      </c>
      <c r="C48" s="1" t="s">
        <v>63</v>
      </c>
      <c r="D48" s="1" t="s">
        <v>83</v>
      </c>
      <c r="E48" s="1">
        <v>6.94</v>
      </c>
      <c r="F48" s="1">
        <v>7.07</v>
      </c>
      <c r="G48" s="1">
        <v>7.1</v>
      </c>
      <c r="H48" s="1">
        <v>6.86</v>
      </c>
      <c r="I48" s="1">
        <v>6.9</v>
      </c>
      <c r="J48" s="1">
        <v>7.01</v>
      </c>
      <c r="K48" s="1">
        <v>7.04</v>
      </c>
      <c r="L48" s="1">
        <v>7.01</v>
      </c>
      <c r="M48" s="1">
        <v>7.01</v>
      </c>
      <c r="N48" s="1">
        <v>7.03</v>
      </c>
      <c r="O48" s="1">
        <v>7.05</v>
      </c>
      <c r="P48" s="1">
        <v>7.14</v>
      </c>
    </row>
    <row r="49" spans="1:16" x14ac:dyDescent="0.3">
      <c r="A49" s="1" t="s">
        <v>4</v>
      </c>
      <c r="B49" s="1" t="s">
        <v>35</v>
      </c>
      <c r="C49" s="1" t="s">
        <v>64</v>
      </c>
      <c r="D49" s="1" t="s">
        <v>83</v>
      </c>
      <c r="E49" s="1">
        <v>0.19</v>
      </c>
      <c r="F49" s="1">
        <v>0.21</v>
      </c>
      <c r="G49" s="1">
        <v>0.22</v>
      </c>
      <c r="H49" s="1">
        <v>0.17</v>
      </c>
      <c r="I49" s="1">
        <v>0.16</v>
      </c>
      <c r="J49" s="1">
        <v>0.15</v>
      </c>
      <c r="K49" s="1">
        <v>0.17</v>
      </c>
      <c r="L49" s="1">
        <v>0.2</v>
      </c>
      <c r="M49" s="1">
        <v>0.2</v>
      </c>
      <c r="N49" s="1">
        <v>0.18</v>
      </c>
      <c r="O49" s="1">
        <v>0.2</v>
      </c>
      <c r="P49" s="1">
        <v>0.18</v>
      </c>
    </row>
    <row r="50" spans="1:16" x14ac:dyDescent="0.3">
      <c r="A50" s="1" t="s">
        <v>4</v>
      </c>
      <c r="B50" s="1" t="s">
        <v>36</v>
      </c>
      <c r="C50" s="1" t="s">
        <v>50</v>
      </c>
      <c r="D50" s="1" t="s">
        <v>94</v>
      </c>
      <c r="E50" s="1">
        <v>3.27</v>
      </c>
      <c r="F50" s="1">
        <v>3.42</v>
      </c>
      <c r="G50" s="1">
        <v>3.49</v>
      </c>
      <c r="H50" s="1">
        <v>3.03</v>
      </c>
      <c r="I50" s="1">
        <v>3.07</v>
      </c>
      <c r="J50" s="1">
        <v>3.25</v>
      </c>
      <c r="K50" s="1">
        <v>3.31</v>
      </c>
      <c r="L50" s="1">
        <v>3.16</v>
      </c>
      <c r="M50" s="1">
        <v>3.28</v>
      </c>
      <c r="N50" s="1">
        <v>3.44</v>
      </c>
      <c r="O50" s="1">
        <v>3.34</v>
      </c>
      <c r="P50" s="1">
        <v>3.34</v>
      </c>
    </row>
    <row r="51" spans="1:16" x14ac:dyDescent="0.3">
      <c r="A51" s="1" t="s">
        <v>4</v>
      </c>
      <c r="B51" s="1" t="s">
        <v>36</v>
      </c>
      <c r="C51" s="1" t="s">
        <v>77</v>
      </c>
      <c r="D51" s="1" t="s">
        <v>111</v>
      </c>
      <c r="E51" s="1">
        <v>3.02</v>
      </c>
      <c r="F51" s="1">
        <v>1.0900000000000001</v>
      </c>
      <c r="G51" s="1">
        <v>1.0900000000000001</v>
      </c>
      <c r="H51" s="1"/>
      <c r="I51" s="1"/>
      <c r="J51" s="1">
        <v>1.3</v>
      </c>
      <c r="K51" s="1">
        <v>3.12</v>
      </c>
      <c r="L51" s="1">
        <v>4.01</v>
      </c>
      <c r="M51" s="1">
        <v>2.16</v>
      </c>
      <c r="N51" s="1"/>
      <c r="O51" s="1"/>
      <c r="P51" s="1"/>
    </row>
    <row r="52" spans="1:16" x14ac:dyDescent="0.3">
      <c r="A52" s="1" t="s">
        <v>4</v>
      </c>
      <c r="B52" s="1" t="s">
        <v>37</v>
      </c>
      <c r="C52" s="1" t="s">
        <v>50</v>
      </c>
      <c r="D52" s="1" t="s">
        <v>83</v>
      </c>
      <c r="E52" s="1">
        <v>4.3099999999999996</v>
      </c>
      <c r="F52" s="1">
        <v>4.3099999999999996</v>
      </c>
      <c r="G52" s="1">
        <v>4.33</v>
      </c>
      <c r="H52" s="1">
        <v>3.01</v>
      </c>
      <c r="I52" s="1">
        <v>2.94</v>
      </c>
      <c r="J52" s="1">
        <v>3.59</v>
      </c>
      <c r="K52" s="1">
        <v>4.43</v>
      </c>
      <c r="L52" s="1">
        <v>4.42</v>
      </c>
      <c r="M52" s="1">
        <v>4.3099999999999996</v>
      </c>
      <c r="N52" s="1">
        <v>4.28</v>
      </c>
      <c r="O52" s="1">
        <v>4.34</v>
      </c>
      <c r="P52" s="1">
        <v>4.4000000000000004</v>
      </c>
    </row>
    <row r="53" spans="1:16" x14ac:dyDescent="0.3">
      <c r="A53" s="1" t="s">
        <v>4</v>
      </c>
      <c r="B53" s="1" t="s">
        <v>38</v>
      </c>
      <c r="C53" s="1" t="s">
        <v>50</v>
      </c>
      <c r="D53" s="1" t="s">
        <v>85</v>
      </c>
      <c r="E53" s="1">
        <v>0.89</v>
      </c>
      <c r="F53" s="1">
        <v>0.89</v>
      </c>
      <c r="G53" s="1">
        <v>0.88</v>
      </c>
      <c r="H53" s="1">
        <v>0.87</v>
      </c>
      <c r="I53" s="1">
        <v>0.87</v>
      </c>
      <c r="J53" s="1">
        <v>0.84</v>
      </c>
      <c r="K53" s="1">
        <v>0.88</v>
      </c>
      <c r="L53" s="1">
        <v>0.86</v>
      </c>
      <c r="M53" s="1">
        <v>0.89</v>
      </c>
      <c r="N53" s="1">
        <v>0.9</v>
      </c>
      <c r="O53" s="1">
        <v>0.9</v>
      </c>
      <c r="P53" s="1"/>
    </row>
    <row r="54" spans="1:16" x14ac:dyDescent="0.3">
      <c r="A54" s="1" t="s">
        <v>4</v>
      </c>
      <c r="B54" s="1" t="s">
        <v>38</v>
      </c>
      <c r="C54" s="1" t="s">
        <v>57</v>
      </c>
      <c r="D54" s="1" t="s">
        <v>87</v>
      </c>
      <c r="E54" s="1">
        <v>1.31</v>
      </c>
      <c r="F54" s="1">
        <v>1.3</v>
      </c>
      <c r="G54" s="1">
        <v>1.27</v>
      </c>
      <c r="H54" s="1">
        <v>1.25</v>
      </c>
      <c r="I54" s="1">
        <v>1.23</v>
      </c>
      <c r="J54" s="1">
        <v>1.23</v>
      </c>
      <c r="K54" s="1">
        <v>1.27</v>
      </c>
      <c r="L54" s="1">
        <v>1.27</v>
      </c>
      <c r="M54" s="1">
        <v>1.29</v>
      </c>
      <c r="N54" s="1">
        <v>1.33</v>
      </c>
      <c r="O54" s="1">
        <v>1.29</v>
      </c>
      <c r="P54" s="1"/>
    </row>
    <row r="55" spans="1:16" x14ac:dyDescent="0.3">
      <c r="A55" s="1" t="s">
        <v>4</v>
      </c>
      <c r="B55" s="1" t="s">
        <v>39</v>
      </c>
      <c r="C55" s="1" t="s">
        <v>50</v>
      </c>
      <c r="D55" s="1" t="s">
        <v>95</v>
      </c>
      <c r="E55" s="1">
        <v>0.9</v>
      </c>
      <c r="F55" s="1">
        <v>0.9</v>
      </c>
      <c r="G55" s="1">
        <v>0.9</v>
      </c>
      <c r="H55" s="1">
        <v>0.89</v>
      </c>
      <c r="I55" s="1">
        <v>0.86</v>
      </c>
      <c r="J55" s="1">
        <v>0.84</v>
      </c>
      <c r="K55" s="1">
        <v>0.88</v>
      </c>
      <c r="L55" s="1">
        <v>0.87</v>
      </c>
      <c r="M55" s="1">
        <v>0.9</v>
      </c>
      <c r="N55" s="1">
        <v>0.9</v>
      </c>
      <c r="O55" s="1">
        <v>0.91</v>
      </c>
      <c r="P55" s="1">
        <v>0.88</v>
      </c>
    </row>
    <row r="56" spans="1:16" x14ac:dyDescent="0.3">
      <c r="A56" s="1" t="s">
        <v>4</v>
      </c>
      <c r="B56" s="1" t="s">
        <v>39</v>
      </c>
      <c r="C56" s="1" t="s">
        <v>57</v>
      </c>
      <c r="D56" s="1" t="s">
        <v>96</v>
      </c>
      <c r="E56" s="1">
        <v>1.33</v>
      </c>
      <c r="F56" s="1">
        <v>1.32</v>
      </c>
      <c r="G56" s="1">
        <v>1.32</v>
      </c>
      <c r="H56" s="1">
        <v>1.32</v>
      </c>
      <c r="I56" s="1">
        <v>1.26</v>
      </c>
      <c r="J56" s="1">
        <v>1.26</v>
      </c>
      <c r="K56" s="1">
        <v>1.31</v>
      </c>
      <c r="L56" s="1">
        <v>1.29</v>
      </c>
      <c r="M56" s="1">
        <v>1.33</v>
      </c>
      <c r="N56" s="1">
        <v>1.33</v>
      </c>
      <c r="O56" s="1">
        <v>1.34</v>
      </c>
      <c r="P56" s="1">
        <v>1.3</v>
      </c>
    </row>
    <row r="57" spans="1:16" x14ac:dyDescent="0.3">
      <c r="A57" s="1" t="s">
        <v>4</v>
      </c>
      <c r="B57" s="1" t="s">
        <v>40</v>
      </c>
      <c r="C57" s="1" t="s">
        <v>50</v>
      </c>
      <c r="D57" s="1" t="s">
        <v>97</v>
      </c>
      <c r="E57" s="1">
        <v>1.08</v>
      </c>
      <c r="F57" s="1">
        <v>1.17</v>
      </c>
      <c r="G57" s="1">
        <v>1.22</v>
      </c>
      <c r="H57" s="1">
        <v>0.95</v>
      </c>
      <c r="I57" s="1">
        <v>0.95</v>
      </c>
      <c r="J57" s="1">
        <v>1.04</v>
      </c>
      <c r="K57" s="1">
        <v>1.1000000000000001</v>
      </c>
      <c r="L57" s="1">
        <v>1.04</v>
      </c>
      <c r="M57" s="1">
        <v>1.0900000000000001</v>
      </c>
      <c r="N57" s="1">
        <v>1.2</v>
      </c>
      <c r="O57" s="1">
        <v>1.5</v>
      </c>
      <c r="P57" s="1">
        <v>1.17</v>
      </c>
    </row>
    <row r="58" spans="1:16" x14ac:dyDescent="0.3">
      <c r="A58" s="1" t="s">
        <v>4</v>
      </c>
      <c r="B58" s="1" t="s">
        <v>40</v>
      </c>
      <c r="C58" s="1" t="s">
        <v>52</v>
      </c>
      <c r="D58" s="1" t="s">
        <v>98</v>
      </c>
      <c r="E58" s="1">
        <v>3.82</v>
      </c>
      <c r="F58" s="1">
        <v>3.97</v>
      </c>
      <c r="G58" s="1">
        <v>4.04</v>
      </c>
      <c r="H58" s="1">
        <v>3.65</v>
      </c>
      <c r="I58" s="1">
        <v>3.67</v>
      </c>
      <c r="J58" s="1">
        <v>3.82</v>
      </c>
      <c r="K58" s="1">
        <v>3.9</v>
      </c>
      <c r="L58" s="1">
        <v>3.78</v>
      </c>
      <c r="M58" s="1">
        <v>3.87</v>
      </c>
      <c r="N58" s="1">
        <v>4.05</v>
      </c>
      <c r="O58" s="1">
        <v>3.92</v>
      </c>
      <c r="P58" s="1">
        <v>4.0199999999999996</v>
      </c>
    </row>
    <row r="59" spans="1:16" x14ac:dyDescent="0.3">
      <c r="A59" s="1" t="s">
        <v>4</v>
      </c>
      <c r="B59" s="1" t="s">
        <v>41</v>
      </c>
      <c r="C59" s="1" t="s">
        <v>50</v>
      </c>
      <c r="D59" s="1" t="s">
        <v>99</v>
      </c>
      <c r="E59" s="1">
        <v>1.69</v>
      </c>
      <c r="F59" s="1">
        <v>1.71</v>
      </c>
      <c r="G59" s="1">
        <v>1.73</v>
      </c>
      <c r="H59" s="1">
        <v>1.55</v>
      </c>
      <c r="I59" s="1">
        <v>1.55</v>
      </c>
      <c r="J59" s="1">
        <v>1.58</v>
      </c>
      <c r="K59" s="1">
        <v>1.68</v>
      </c>
      <c r="L59" s="1">
        <v>1.68</v>
      </c>
      <c r="M59" s="1">
        <v>1.7</v>
      </c>
      <c r="N59" s="1">
        <v>1.7</v>
      </c>
      <c r="O59" s="1">
        <v>1.7</v>
      </c>
      <c r="P59" s="1">
        <v>1.7</v>
      </c>
    </row>
    <row r="60" spans="1:16" x14ac:dyDescent="0.3">
      <c r="A60" s="1" t="s">
        <v>4</v>
      </c>
      <c r="B60" s="1" t="s">
        <v>41</v>
      </c>
      <c r="C60" s="1" t="s">
        <v>112</v>
      </c>
      <c r="D60" s="1" t="s">
        <v>100</v>
      </c>
      <c r="E60" s="1">
        <v>4.8899999999999997</v>
      </c>
      <c r="F60" s="1">
        <v>4.93</v>
      </c>
      <c r="G60" s="1">
        <v>4.9400000000000004</v>
      </c>
      <c r="H60" s="1">
        <v>4.92</v>
      </c>
      <c r="I60" s="1">
        <v>4.95</v>
      </c>
      <c r="J60" s="1">
        <v>4.91</v>
      </c>
      <c r="K60" s="1">
        <v>4.9000000000000004</v>
      </c>
      <c r="L60" s="1">
        <v>4.9400000000000004</v>
      </c>
      <c r="M60" s="1">
        <v>4.93</v>
      </c>
      <c r="N60" s="1">
        <v>4.93</v>
      </c>
      <c r="O60" s="1">
        <v>4.91</v>
      </c>
      <c r="P60" s="1">
        <v>4.95</v>
      </c>
    </row>
    <row r="61" spans="1:16" x14ac:dyDescent="0.3">
      <c r="A61" s="1" t="s">
        <v>4</v>
      </c>
      <c r="B61" s="1" t="s">
        <v>41</v>
      </c>
      <c r="C61" s="1" t="s">
        <v>113</v>
      </c>
      <c r="D61" s="1" t="s">
        <v>101</v>
      </c>
      <c r="E61" s="1">
        <v>4.99</v>
      </c>
      <c r="F61" s="1">
        <v>5.03</v>
      </c>
      <c r="G61" s="1">
        <v>5.03</v>
      </c>
      <c r="H61" s="1">
        <v>4.9800000000000004</v>
      </c>
      <c r="I61" s="1">
        <v>5.01</v>
      </c>
      <c r="J61" s="1">
        <v>4.9800000000000004</v>
      </c>
      <c r="K61" s="1">
        <v>5</v>
      </c>
      <c r="L61" s="1">
        <v>5.03</v>
      </c>
      <c r="M61" s="1">
        <v>5.04</v>
      </c>
      <c r="N61" s="1">
        <v>5.03</v>
      </c>
      <c r="O61" s="1">
        <v>5.01</v>
      </c>
      <c r="P61" s="1">
        <v>5.0599999999999996</v>
      </c>
    </row>
    <row r="62" spans="1:16" x14ac:dyDescent="0.3">
      <c r="A62" s="1" t="s">
        <v>4</v>
      </c>
      <c r="B62" s="1" t="s">
        <v>41</v>
      </c>
      <c r="C62" s="1" t="s">
        <v>52</v>
      </c>
      <c r="D62" s="1" t="s">
        <v>87</v>
      </c>
      <c r="E62" s="1">
        <v>5.79</v>
      </c>
      <c r="F62" s="1">
        <v>5.84</v>
      </c>
      <c r="G62" s="1">
        <v>5.83</v>
      </c>
      <c r="H62" s="1">
        <v>5.7</v>
      </c>
      <c r="I62" s="1">
        <v>5.72</v>
      </c>
      <c r="J62" s="1">
        <v>5.72</v>
      </c>
      <c r="K62" s="1">
        <v>5.81</v>
      </c>
      <c r="L62" s="1">
        <v>5.8</v>
      </c>
      <c r="M62" s="1">
        <v>5.85</v>
      </c>
      <c r="N62" s="1">
        <v>5.87</v>
      </c>
      <c r="O62" s="1">
        <v>5.82</v>
      </c>
      <c r="P62" s="1">
        <v>5.9</v>
      </c>
    </row>
    <row r="63" spans="1:16" x14ac:dyDescent="0.3">
      <c r="A63" s="1" t="s">
        <v>4</v>
      </c>
      <c r="B63" s="1" t="s">
        <v>42</v>
      </c>
      <c r="C63" s="1" t="s">
        <v>67</v>
      </c>
      <c r="D63" s="1" t="s">
        <v>87</v>
      </c>
      <c r="E63" s="1">
        <v>8.5399999999999991</v>
      </c>
      <c r="F63" s="1">
        <v>8.59</v>
      </c>
      <c r="G63" s="1">
        <v>8.6199999999999992</v>
      </c>
      <c r="H63" s="1">
        <v>8.4700000000000006</v>
      </c>
      <c r="I63" s="1">
        <v>8.5299999999999994</v>
      </c>
      <c r="J63" s="1">
        <v>8.51</v>
      </c>
      <c r="K63" s="1">
        <v>8.58</v>
      </c>
      <c r="L63" s="1">
        <v>8.58</v>
      </c>
      <c r="M63" s="1">
        <v>8.57</v>
      </c>
      <c r="N63" s="1">
        <v>8.4499999999999993</v>
      </c>
      <c r="O63" s="1">
        <v>8.5299999999999994</v>
      </c>
      <c r="P63" s="1">
        <v>8.52</v>
      </c>
    </row>
    <row r="64" spans="1:16" x14ac:dyDescent="0.3">
      <c r="A64" s="1" t="s">
        <v>4</v>
      </c>
      <c r="B64" s="1" t="s">
        <v>42</v>
      </c>
      <c r="C64" s="1" t="s">
        <v>68</v>
      </c>
      <c r="D64" s="1" t="s">
        <v>87</v>
      </c>
      <c r="E64" s="1">
        <v>7.25</v>
      </c>
      <c r="F64" s="1">
        <v>7.28</v>
      </c>
      <c r="G64" s="1">
        <v>7.29</v>
      </c>
      <c r="H64" s="1">
        <v>6.67</v>
      </c>
      <c r="I64" s="1">
        <v>6.66</v>
      </c>
      <c r="J64" s="1">
        <v>6.9</v>
      </c>
      <c r="K64" s="1">
        <v>7.35</v>
      </c>
      <c r="L64" s="1">
        <v>7.39</v>
      </c>
      <c r="M64" s="1">
        <v>7.33</v>
      </c>
      <c r="N64" s="1">
        <v>7.4</v>
      </c>
      <c r="O64" s="1">
        <v>7.44</v>
      </c>
      <c r="P64" s="1">
        <v>7.45</v>
      </c>
    </row>
    <row r="65" spans="1:16" x14ac:dyDescent="0.3">
      <c r="A65" s="1" t="s">
        <v>4</v>
      </c>
      <c r="B65" s="1" t="s">
        <v>42</v>
      </c>
      <c r="C65" s="1" t="s">
        <v>69</v>
      </c>
      <c r="D65" s="1" t="s">
        <v>87</v>
      </c>
      <c r="E65" s="1">
        <v>7.65</v>
      </c>
      <c r="F65" s="1">
        <v>7.68</v>
      </c>
      <c r="G65" s="1">
        <v>7.68</v>
      </c>
      <c r="H65" s="1">
        <v>6.99</v>
      </c>
      <c r="I65" s="1">
        <v>6.98</v>
      </c>
      <c r="J65" s="1">
        <v>7.25</v>
      </c>
      <c r="K65" s="1">
        <v>7.76</v>
      </c>
      <c r="L65" s="1">
        <v>7.79</v>
      </c>
      <c r="M65" s="1">
        <v>7.73</v>
      </c>
      <c r="N65" s="1">
        <v>7.82</v>
      </c>
      <c r="O65" s="1">
        <v>7.85</v>
      </c>
      <c r="P65" s="1">
        <v>7.87</v>
      </c>
    </row>
    <row r="66" spans="1:16" x14ac:dyDescent="0.3">
      <c r="A66" s="1" t="s">
        <v>4</v>
      </c>
      <c r="B66" s="1" t="s">
        <v>43</v>
      </c>
      <c r="C66" s="1" t="s">
        <v>102</v>
      </c>
      <c r="D66" s="1" t="s">
        <v>103</v>
      </c>
      <c r="E66" s="1">
        <v>9.9600000000000009</v>
      </c>
      <c r="F66" s="1">
        <v>8.69</v>
      </c>
      <c r="G66" s="1">
        <v>8.4</v>
      </c>
      <c r="H66" s="1">
        <v>7.71</v>
      </c>
      <c r="I66" s="1">
        <v>7.8</v>
      </c>
      <c r="J66" s="1">
        <v>8.61</v>
      </c>
      <c r="K66" s="1">
        <v>10.02</v>
      </c>
      <c r="L66" s="1">
        <v>10.75</v>
      </c>
      <c r="M66" s="1">
        <v>9.27</v>
      </c>
      <c r="N66" s="1"/>
      <c r="O66" s="1"/>
      <c r="P66" s="1"/>
    </row>
    <row r="67" spans="1:16" x14ac:dyDescent="0.3">
      <c r="A67" s="1" t="s">
        <v>4</v>
      </c>
      <c r="B67" s="1" t="s">
        <v>43</v>
      </c>
      <c r="C67" s="1" t="s">
        <v>70</v>
      </c>
      <c r="D67" s="1" t="s">
        <v>87</v>
      </c>
      <c r="E67" s="1">
        <v>6.66</v>
      </c>
      <c r="F67" s="1">
        <v>6.79</v>
      </c>
      <c r="G67" s="1">
        <v>6.83</v>
      </c>
      <c r="H67" s="1">
        <v>6.43</v>
      </c>
      <c r="I67" s="1">
        <v>6.48</v>
      </c>
      <c r="J67" s="1">
        <v>6.62</v>
      </c>
      <c r="K67" s="1">
        <v>6.77</v>
      </c>
      <c r="L67" s="1">
        <v>6.73</v>
      </c>
      <c r="M67" s="1">
        <v>6.75</v>
      </c>
      <c r="N67" s="1">
        <v>6.84</v>
      </c>
      <c r="O67" s="1">
        <v>6.72</v>
      </c>
      <c r="P67" s="1">
        <v>6.93</v>
      </c>
    </row>
    <row r="68" spans="1:16" x14ac:dyDescent="0.3">
      <c r="A68" s="1" t="s">
        <v>4</v>
      </c>
      <c r="B68" s="1" t="s">
        <v>43</v>
      </c>
      <c r="C68" s="1" t="s">
        <v>71</v>
      </c>
      <c r="D68" s="1" t="s">
        <v>87</v>
      </c>
      <c r="E68" s="1">
        <v>6.02</v>
      </c>
      <c r="F68" s="1">
        <v>6.19</v>
      </c>
      <c r="G68" s="1">
        <v>6.26</v>
      </c>
      <c r="H68" s="1">
        <v>6.27</v>
      </c>
      <c r="I68" s="1">
        <v>6.37</v>
      </c>
      <c r="J68" s="1">
        <v>6.27</v>
      </c>
      <c r="K68" s="1">
        <v>6.07</v>
      </c>
      <c r="L68" s="1">
        <v>6.01</v>
      </c>
      <c r="M68" s="1">
        <v>6.1</v>
      </c>
      <c r="N68" s="1">
        <v>6.24</v>
      </c>
      <c r="O68" s="1">
        <v>6.08</v>
      </c>
      <c r="P68" s="1">
        <v>6.26</v>
      </c>
    </row>
    <row r="69" spans="1:16" x14ac:dyDescent="0.3">
      <c r="A69" s="1" t="s">
        <v>4</v>
      </c>
      <c r="B69" s="1" t="s">
        <v>117</v>
      </c>
      <c r="C69" s="1" t="s">
        <v>60</v>
      </c>
      <c r="D69" s="1" t="s">
        <v>87</v>
      </c>
      <c r="E69" s="1">
        <v>2.75</v>
      </c>
      <c r="F69" s="1">
        <v>2.82</v>
      </c>
      <c r="G69" s="1">
        <v>2.87</v>
      </c>
      <c r="H69" s="1">
        <v>2.54</v>
      </c>
      <c r="I69" s="1">
        <v>2.54</v>
      </c>
      <c r="J69" s="1">
        <v>2.64</v>
      </c>
      <c r="K69" s="1"/>
      <c r="L69" s="1">
        <v>2.67</v>
      </c>
      <c r="M69" s="1">
        <v>2.75</v>
      </c>
      <c r="N69" s="1">
        <v>3.11</v>
      </c>
      <c r="O69" s="1">
        <v>2.8</v>
      </c>
      <c r="P69" s="1">
        <v>3.07</v>
      </c>
    </row>
    <row r="70" spans="1:16" x14ac:dyDescent="0.3">
      <c r="A70" s="1" t="s">
        <v>4</v>
      </c>
      <c r="B70" s="1" t="s">
        <v>117</v>
      </c>
      <c r="C70" s="1" t="s">
        <v>61</v>
      </c>
      <c r="D70" s="1" t="s">
        <v>87</v>
      </c>
      <c r="E70" s="1">
        <v>1.59</v>
      </c>
      <c r="F70" s="1">
        <v>1.67</v>
      </c>
      <c r="G70" s="1">
        <v>1.68</v>
      </c>
      <c r="H70" s="1">
        <v>1.36</v>
      </c>
      <c r="I70" s="1">
        <v>1.33</v>
      </c>
      <c r="J70" s="1">
        <v>1.43</v>
      </c>
      <c r="K70" s="1"/>
      <c r="L70" s="1">
        <v>1.55</v>
      </c>
      <c r="M70" s="1">
        <v>1.61</v>
      </c>
      <c r="N70" s="1">
        <v>1.93</v>
      </c>
      <c r="O70" s="1">
        <v>1.72</v>
      </c>
      <c r="P70" s="1">
        <v>1.87</v>
      </c>
    </row>
    <row r="71" spans="1:16" x14ac:dyDescent="0.3">
      <c r="A71" s="1" t="s">
        <v>4</v>
      </c>
      <c r="B71" s="1" t="s">
        <v>45</v>
      </c>
      <c r="C71" s="1" t="s">
        <v>50</v>
      </c>
      <c r="D71" s="1" t="s">
        <v>83</v>
      </c>
      <c r="E71" s="1">
        <v>0.11</v>
      </c>
      <c r="F71" s="1">
        <v>0.09</v>
      </c>
      <c r="G71" s="1">
        <v>7.0000000000000007E-2</v>
      </c>
      <c r="H71" s="1">
        <v>0.26</v>
      </c>
      <c r="I71" s="1">
        <v>0.28999999999999998</v>
      </c>
      <c r="J71" s="1">
        <v>0.14000000000000001</v>
      </c>
      <c r="K71" s="1">
        <v>0.13</v>
      </c>
      <c r="L71" s="16" t="s">
        <v>115</v>
      </c>
      <c r="M71" s="1">
        <v>0.08</v>
      </c>
      <c r="N71" s="1">
        <v>0.16</v>
      </c>
      <c r="O71" s="1">
        <v>0.1</v>
      </c>
      <c r="P71" s="1"/>
    </row>
    <row r="72" spans="1:16" x14ac:dyDescent="0.3">
      <c r="A72" s="1" t="s">
        <v>4</v>
      </c>
      <c r="B72" s="1" t="s">
        <v>46</v>
      </c>
      <c r="C72" s="1" t="s">
        <v>60</v>
      </c>
      <c r="D72" s="1" t="s">
        <v>87</v>
      </c>
      <c r="E72" s="1">
        <v>3.62</v>
      </c>
      <c r="F72" s="1">
        <v>3.69</v>
      </c>
      <c r="G72" s="1">
        <v>3.76</v>
      </c>
      <c r="H72" s="1">
        <v>3.54</v>
      </c>
      <c r="I72" s="1">
        <v>3.57</v>
      </c>
      <c r="J72" s="1">
        <v>3.59</v>
      </c>
      <c r="K72" s="1">
        <v>3.63</v>
      </c>
      <c r="L72" s="1">
        <v>3.6</v>
      </c>
      <c r="M72" s="1">
        <v>3.64</v>
      </c>
      <c r="N72" s="1">
        <v>3.78</v>
      </c>
      <c r="O72" s="1">
        <v>3.71</v>
      </c>
      <c r="P72" s="1">
        <v>3.74</v>
      </c>
    </row>
    <row r="73" spans="1:16" x14ac:dyDescent="0.3">
      <c r="A73" s="1" t="s">
        <v>4</v>
      </c>
      <c r="B73" s="1" t="s">
        <v>46</v>
      </c>
      <c r="C73" s="1" t="s">
        <v>61</v>
      </c>
      <c r="D73" s="1" t="s">
        <v>87</v>
      </c>
      <c r="E73" s="1">
        <v>1.79</v>
      </c>
      <c r="F73" s="1">
        <v>1.82</v>
      </c>
      <c r="G73" s="1">
        <v>1.85</v>
      </c>
      <c r="H73" s="1">
        <v>1.43</v>
      </c>
      <c r="I73" s="1">
        <v>1.4</v>
      </c>
      <c r="J73" s="1">
        <v>1.55</v>
      </c>
      <c r="K73" s="1">
        <v>1.79</v>
      </c>
      <c r="L73" s="1">
        <v>1.76</v>
      </c>
      <c r="M73" s="1">
        <v>1.8</v>
      </c>
      <c r="N73" s="1">
        <v>1.91</v>
      </c>
      <c r="O73" s="1">
        <v>1.87</v>
      </c>
      <c r="P73" s="1">
        <v>1.88</v>
      </c>
    </row>
    <row r="74" spans="1:16" x14ac:dyDescent="0.3">
      <c r="A74" s="1" t="s">
        <v>4</v>
      </c>
      <c r="B74" s="1" t="s">
        <v>47</v>
      </c>
      <c r="C74" s="1" t="s">
        <v>50</v>
      </c>
      <c r="D74" s="1" t="s">
        <v>83</v>
      </c>
      <c r="E74" s="1">
        <v>2.31</v>
      </c>
      <c r="F74" s="1">
        <v>2.34</v>
      </c>
      <c r="G74" s="1">
        <v>2.36</v>
      </c>
      <c r="H74" s="1">
        <v>2.11</v>
      </c>
      <c r="I74" s="1">
        <v>2.11</v>
      </c>
      <c r="J74" s="1">
        <v>2.16</v>
      </c>
      <c r="K74" s="1">
        <v>2.3199999999999998</v>
      </c>
      <c r="L74" s="1">
        <v>2.2999999999999998</v>
      </c>
      <c r="M74" s="1">
        <v>2.33</v>
      </c>
      <c r="N74" s="1">
        <v>2.33</v>
      </c>
      <c r="O74" s="1">
        <v>2.3199999999999998</v>
      </c>
      <c r="P74" s="1"/>
    </row>
    <row r="75" spans="1:16" x14ac:dyDescent="0.3">
      <c r="A75" s="1" t="s">
        <v>4</v>
      </c>
      <c r="B75" s="1" t="s">
        <v>47</v>
      </c>
      <c r="C75" s="1" t="s">
        <v>104</v>
      </c>
      <c r="D75" s="1" t="s">
        <v>87</v>
      </c>
      <c r="E75" s="1">
        <v>7.1</v>
      </c>
      <c r="F75" s="1">
        <v>7.15</v>
      </c>
      <c r="G75" s="1">
        <v>7.17</v>
      </c>
      <c r="H75" s="1">
        <v>6.98</v>
      </c>
      <c r="I75" s="1">
        <v>7.02</v>
      </c>
      <c r="J75" s="1">
        <v>7.05</v>
      </c>
      <c r="K75" s="1">
        <v>7.15</v>
      </c>
      <c r="L75" s="1">
        <v>7.18</v>
      </c>
      <c r="M75" s="1">
        <v>7.2</v>
      </c>
      <c r="N75" s="1">
        <v>7.2</v>
      </c>
      <c r="O75" s="1">
        <v>7.16</v>
      </c>
      <c r="P75" s="1"/>
    </row>
    <row r="76" spans="1:16" x14ac:dyDescent="0.3">
      <c r="A76" s="1" t="s">
        <v>4</v>
      </c>
      <c r="B76" s="1" t="s">
        <v>47</v>
      </c>
      <c r="C76" s="1" t="s">
        <v>68</v>
      </c>
      <c r="D76" s="1" t="s">
        <v>87</v>
      </c>
      <c r="E76" s="1">
        <v>7.19</v>
      </c>
      <c r="F76" s="1">
        <v>7.24</v>
      </c>
      <c r="G76" s="1">
        <v>7.25</v>
      </c>
      <c r="H76" s="1">
        <v>7.09</v>
      </c>
      <c r="I76" s="1">
        <v>7.13</v>
      </c>
      <c r="J76" s="1">
        <v>7.14</v>
      </c>
      <c r="K76" s="1">
        <v>7.15</v>
      </c>
      <c r="L76" s="1">
        <v>7.25</v>
      </c>
      <c r="M76" s="1">
        <v>7.2</v>
      </c>
      <c r="N76" s="1">
        <v>7.2</v>
      </c>
      <c r="O76" s="1">
        <v>7.16</v>
      </c>
      <c r="P76" s="1"/>
    </row>
    <row r="77" spans="1:16" x14ac:dyDescent="0.3">
      <c r="A77" s="1" t="s">
        <v>4</v>
      </c>
      <c r="B77" s="1" t="s">
        <v>48</v>
      </c>
      <c r="C77" s="1" t="s">
        <v>50</v>
      </c>
      <c r="D77" s="1" t="s">
        <v>85</v>
      </c>
      <c r="E77" s="1">
        <v>0.97</v>
      </c>
      <c r="F77" s="1">
        <v>0.99</v>
      </c>
      <c r="G77" s="1">
        <v>1.03</v>
      </c>
      <c r="H77" s="1">
        <v>0.95</v>
      </c>
      <c r="I77" s="1">
        <v>0.96</v>
      </c>
      <c r="J77" s="1">
        <v>0.93</v>
      </c>
      <c r="K77" s="1">
        <v>0.96</v>
      </c>
      <c r="L77" s="1">
        <v>0.93</v>
      </c>
      <c r="M77" s="1">
        <v>0.96</v>
      </c>
      <c r="N77" s="1">
        <v>1.31</v>
      </c>
      <c r="O77" s="1">
        <v>1.05</v>
      </c>
      <c r="P77" s="1">
        <v>0.99</v>
      </c>
    </row>
    <row r="78" spans="1:16" x14ac:dyDescent="0.3">
      <c r="A78" s="1" t="s">
        <v>4</v>
      </c>
      <c r="B78" s="1" t="s">
        <v>48</v>
      </c>
      <c r="C78" s="1" t="s">
        <v>57</v>
      </c>
      <c r="D78" s="1" t="s">
        <v>105</v>
      </c>
      <c r="E78" s="1">
        <v>2.46</v>
      </c>
      <c r="F78" s="1">
        <v>2.48</v>
      </c>
      <c r="G78" s="1">
        <v>2.5299999999999998</v>
      </c>
      <c r="H78" s="1">
        <v>2.39</v>
      </c>
      <c r="I78" s="1">
        <v>2.4</v>
      </c>
      <c r="J78" s="1">
        <v>2.39</v>
      </c>
      <c r="K78" s="1">
        <v>2.4500000000000002</v>
      </c>
      <c r="L78" s="1">
        <v>2.4300000000000002</v>
      </c>
      <c r="M78" s="1">
        <v>2.4500000000000002</v>
      </c>
      <c r="N78" s="1">
        <v>3.12</v>
      </c>
      <c r="O78" s="1">
        <v>2.58</v>
      </c>
      <c r="P78" s="1">
        <v>2.57</v>
      </c>
    </row>
    <row r="79" spans="1:1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3">
      <c r="A80" s="1" t="s">
        <v>5</v>
      </c>
      <c r="B80" s="11" t="s">
        <v>78</v>
      </c>
      <c r="C80" s="3" t="s">
        <v>6</v>
      </c>
      <c r="D80" s="3"/>
      <c r="E80" s="3">
        <v>67.209999999999994</v>
      </c>
      <c r="F80" s="3">
        <v>53.84</v>
      </c>
      <c r="G80" s="3">
        <v>77.16</v>
      </c>
      <c r="H80" s="3">
        <v>137.47999999999999</v>
      </c>
      <c r="I80" s="3">
        <v>128.06</v>
      </c>
      <c r="J80" s="3">
        <v>134.19</v>
      </c>
      <c r="K80" s="3">
        <v>29.84</v>
      </c>
      <c r="L80" s="3">
        <v>39.520000000000003</v>
      </c>
      <c r="M80" s="3">
        <v>1.32</v>
      </c>
      <c r="N80" s="3">
        <v>61.5</v>
      </c>
      <c r="O80" s="3">
        <v>49</v>
      </c>
      <c r="P80" s="3"/>
    </row>
    <row r="81" spans="1:16" x14ac:dyDescent="0.3">
      <c r="A81" s="1" t="s">
        <v>5</v>
      </c>
      <c r="B81" s="12" t="s">
        <v>78</v>
      </c>
      <c r="C81" s="1" t="s">
        <v>6</v>
      </c>
      <c r="D81" s="1"/>
      <c r="E81" s="1">
        <v>25.31</v>
      </c>
      <c r="F81" s="1"/>
      <c r="G81" s="1"/>
      <c r="H81" s="1">
        <v>128.87</v>
      </c>
      <c r="I81" s="1"/>
      <c r="J81" s="1">
        <v>129.26</v>
      </c>
      <c r="K81" s="1">
        <v>206.26</v>
      </c>
      <c r="L81" s="1"/>
      <c r="M81" s="1">
        <v>118.26</v>
      </c>
      <c r="N81" s="1">
        <v>126.28</v>
      </c>
      <c r="O81" s="1"/>
      <c r="P81" s="1"/>
    </row>
    <row r="82" spans="1:16" x14ac:dyDescent="0.3">
      <c r="A82" s="1" t="s">
        <v>5</v>
      </c>
      <c r="B82" s="12" t="s">
        <v>78</v>
      </c>
      <c r="C82" s="1" t="s">
        <v>6</v>
      </c>
      <c r="D82" s="1"/>
      <c r="E82" s="1"/>
      <c r="F82" s="1"/>
      <c r="G82" s="1"/>
      <c r="H82" s="1">
        <v>127.96</v>
      </c>
      <c r="I82" s="1"/>
      <c r="J82" s="1">
        <v>128.25</v>
      </c>
      <c r="K82" s="1"/>
      <c r="L82" s="1"/>
      <c r="M82" s="1"/>
      <c r="N82" s="1"/>
      <c r="O82" s="1"/>
      <c r="P82" s="1"/>
    </row>
    <row r="83" spans="1:16" x14ac:dyDescent="0.3">
      <c r="A83" s="1" t="s">
        <v>5</v>
      </c>
      <c r="B83" s="12" t="s">
        <v>78</v>
      </c>
      <c r="C83" s="1" t="s">
        <v>6</v>
      </c>
      <c r="D83" s="1"/>
      <c r="E83" s="1"/>
      <c r="F83" s="1"/>
      <c r="G83" s="1"/>
      <c r="H83" s="1">
        <v>125.13</v>
      </c>
      <c r="I83" s="1"/>
      <c r="J83" s="1">
        <v>125.96</v>
      </c>
      <c r="K83" s="1"/>
      <c r="L83" s="1"/>
      <c r="M83" s="1"/>
      <c r="N83" s="1"/>
      <c r="O83" s="1"/>
      <c r="P83" s="1"/>
    </row>
    <row r="84" spans="1:16" x14ac:dyDescent="0.3">
      <c r="A84" s="1" t="s">
        <v>5</v>
      </c>
      <c r="B84" s="12" t="s">
        <v>78</v>
      </c>
      <c r="C84" s="1" t="s">
        <v>6</v>
      </c>
      <c r="D84" s="1"/>
      <c r="E84" s="1"/>
      <c r="F84" s="1"/>
      <c r="G84" s="1"/>
      <c r="H84" s="1">
        <v>20.43</v>
      </c>
      <c r="I84" s="1"/>
      <c r="J84" s="1"/>
      <c r="K84" s="1"/>
      <c r="L84" s="1"/>
      <c r="M84" s="1"/>
      <c r="N84" s="1"/>
      <c r="O84" s="1"/>
      <c r="P84" s="1"/>
    </row>
    <row r="85" spans="1:16" x14ac:dyDescent="0.3">
      <c r="A85" s="1" t="s">
        <v>5</v>
      </c>
      <c r="B85" s="1" t="s">
        <v>7</v>
      </c>
      <c r="C85" s="1" t="s">
        <v>49</v>
      </c>
      <c r="D85" s="1" t="s">
        <v>83</v>
      </c>
      <c r="E85" s="1">
        <v>171.69</v>
      </c>
      <c r="F85" s="1">
        <v>175.85</v>
      </c>
      <c r="G85" s="1">
        <v>175.99</v>
      </c>
      <c r="H85" s="1">
        <v>175.3</v>
      </c>
      <c r="I85" s="1">
        <v>175.82</v>
      </c>
      <c r="J85" s="1">
        <v>175.67</v>
      </c>
      <c r="K85" s="1">
        <v>172.31</v>
      </c>
      <c r="L85" s="1">
        <v>171.93</v>
      </c>
      <c r="M85" s="1">
        <v>173.21</v>
      </c>
      <c r="N85" s="1">
        <v>177.96</v>
      </c>
      <c r="O85" s="1">
        <v>175.11</v>
      </c>
      <c r="P85" s="1">
        <v>177.21</v>
      </c>
    </row>
    <row r="86" spans="1:16" x14ac:dyDescent="0.3">
      <c r="A86" s="1" t="s">
        <v>5</v>
      </c>
      <c r="B86" s="1" t="s">
        <v>7</v>
      </c>
      <c r="C86" s="1" t="s">
        <v>50</v>
      </c>
      <c r="D86" s="1" t="s">
        <v>83</v>
      </c>
      <c r="E86" s="1">
        <v>20.13</v>
      </c>
      <c r="F86" s="1">
        <v>20.91</v>
      </c>
      <c r="G86" s="1">
        <v>20.81</v>
      </c>
      <c r="H86" s="1">
        <v>20.27</v>
      </c>
      <c r="I86" s="1">
        <v>20.37</v>
      </c>
      <c r="J86" s="1">
        <v>20.399999999999999</v>
      </c>
      <c r="K86" s="1">
        <v>20.51</v>
      </c>
      <c r="L86" s="1">
        <v>20.95</v>
      </c>
      <c r="M86" s="1">
        <v>20.73</v>
      </c>
      <c r="N86" s="1">
        <v>20.91</v>
      </c>
      <c r="O86" s="1">
        <v>20.56</v>
      </c>
      <c r="P86" s="1">
        <v>21.03</v>
      </c>
    </row>
    <row r="87" spans="1:16" x14ac:dyDescent="0.3">
      <c r="A87" s="1" t="s">
        <v>5</v>
      </c>
      <c r="B87" s="1" t="s">
        <v>8</v>
      </c>
      <c r="C87" s="1" t="s">
        <v>49</v>
      </c>
      <c r="D87" s="1" t="s">
        <v>83</v>
      </c>
      <c r="E87" s="1">
        <v>204.19</v>
      </c>
      <c r="F87" s="1">
        <v>206.78</v>
      </c>
      <c r="G87" s="1">
        <v>207.07</v>
      </c>
      <c r="H87" s="1">
        <v>204</v>
      </c>
      <c r="I87" s="1">
        <v>204.43</v>
      </c>
      <c r="J87" s="1">
        <v>204.83</v>
      </c>
      <c r="K87" s="1">
        <v>205.87</v>
      </c>
      <c r="L87" s="1">
        <v>206.31</v>
      </c>
      <c r="M87" s="1">
        <v>207.43</v>
      </c>
      <c r="N87" s="1">
        <v>32.35</v>
      </c>
      <c r="O87" s="1">
        <v>209.67</v>
      </c>
      <c r="P87" s="1">
        <v>215.94</v>
      </c>
    </row>
    <row r="88" spans="1:16" x14ac:dyDescent="0.3">
      <c r="A88" s="1" t="s">
        <v>5</v>
      </c>
      <c r="B88" s="1" t="s">
        <v>8</v>
      </c>
      <c r="C88" s="1" t="s">
        <v>50</v>
      </c>
      <c r="D88" s="1" t="s">
        <v>83</v>
      </c>
      <c r="E88" s="1">
        <v>30.17</v>
      </c>
      <c r="F88" s="1">
        <v>31</v>
      </c>
      <c r="G88" s="1">
        <v>30.92</v>
      </c>
      <c r="H88" s="1">
        <v>30.03</v>
      </c>
      <c r="I88" s="1">
        <v>30.14</v>
      </c>
      <c r="J88" s="1">
        <v>30.12</v>
      </c>
      <c r="K88" s="1">
        <v>30.6</v>
      </c>
      <c r="L88" s="1">
        <v>30.56</v>
      </c>
      <c r="M88" s="1">
        <v>30.91</v>
      </c>
      <c r="N88" s="1">
        <v>214.98</v>
      </c>
      <c r="O88" s="1">
        <v>30.67</v>
      </c>
      <c r="P88" s="1">
        <v>30.89</v>
      </c>
    </row>
    <row r="89" spans="1:16" x14ac:dyDescent="0.3">
      <c r="A89" s="1" t="s">
        <v>5</v>
      </c>
      <c r="B89" s="1" t="s">
        <v>9</v>
      </c>
      <c r="C89" s="1" t="s">
        <v>51</v>
      </c>
      <c r="D89" s="1" t="s">
        <v>83</v>
      </c>
      <c r="E89" s="1">
        <v>116.79</v>
      </c>
      <c r="F89" s="1">
        <v>116.92</v>
      </c>
      <c r="G89" s="1">
        <v>116.43</v>
      </c>
      <c r="H89" s="1">
        <v>115.76</v>
      </c>
      <c r="I89" s="1">
        <v>116.02</v>
      </c>
      <c r="J89" s="1">
        <v>115.93</v>
      </c>
      <c r="K89" s="1">
        <v>117.6</v>
      </c>
      <c r="L89" s="1">
        <v>117.91</v>
      </c>
      <c r="M89" s="1">
        <v>118.26</v>
      </c>
      <c r="N89" s="1">
        <v>118.95</v>
      </c>
      <c r="O89" s="1">
        <v>118.06</v>
      </c>
      <c r="P89" s="1">
        <v>119.68</v>
      </c>
    </row>
    <row r="90" spans="1:16" x14ac:dyDescent="0.3">
      <c r="A90" s="1" t="s">
        <v>5</v>
      </c>
      <c r="B90" s="1" t="s">
        <v>9</v>
      </c>
      <c r="C90" s="1" t="s">
        <v>50</v>
      </c>
      <c r="D90" s="1" t="s">
        <v>83</v>
      </c>
      <c r="E90" s="1">
        <v>0.45</v>
      </c>
      <c r="F90" s="1">
        <v>2.0299999999999998</v>
      </c>
      <c r="G90" s="1">
        <v>1.89</v>
      </c>
      <c r="H90" s="1">
        <v>0.03</v>
      </c>
      <c r="I90" s="1">
        <v>0.2</v>
      </c>
      <c r="J90" s="1">
        <v>0.63</v>
      </c>
      <c r="K90" s="1">
        <v>1.1200000000000001</v>
      </c>
      <c r="L90" s="1">
        <v>1.03</v>
      </c>
      <c r="M90" s="1">
        <v>1.79</v>
      </c>
      <c r="N90" s="1">
        <v>1</v>
      </c>
      <c r="O90" s="1">
        <v>0.85</v>
      </c>
      <c r="P90" s="1">
        <v>1.47</v>
      </c>
    </row>
    <row r="91" spans="1:16" x14ac:dyDescent="0.3">
      <c r="A91" s="1" t="s">
        <v>5</v>
      </c>
      <c r="B91" s="1" t="s">
        <v>10</v>
      </c>
      <c r="C91" s="1" t="s">
        <v>52</v>
      </c>
      <c r="D91" s="1" t="s">
        <v>83</v>
      </c>
      <c r="E91" s="1">
        <v>128.84</v>
      </c>
      <c r="F91" s="1">
        <v>128.68</v>
      </c>
      <c r="G91" s="1">
        <v>128.37</v>
      </c>
      <c r="H91" s="1">
        <v>128.57</v>
      </c>
      <c r="I91" s="1">
        <v>128.62</v>
      </c>
      <c r="J91" s="1">
        <v>128.38</v>
      </c>
      <c r="K91" s="1">
        <v>129.15</v>
      </c>
      <c r="L91" s="1">
        <v>128.30000000000001</v>
      </c>
      <c r="M91" s="1">
        <v>129.32</v>
      </c>
      <c r="N91" s="1">
        <v>129.84</v>
      </c>
      <c r="O91" s="1">
        <v>129.34</v>
      </c>
      <c r="P91" s="1"/>
    </row>
    <row r="92" spans="1:16" x14ac:dyDescent="0.3">
      <c r="A92" s="1" t="s">
        <v>5</v>
      </c>
      <c r="B92" s="1" t="s">
        <v>11</v>
      </c>
      <c r="C92" s="1" t="s">
        <v>53</v>
      </c>
      <c r="D92" s="1" t="s">
        <v>83</v>
      </c>
      <c r="E92" s="1">
        <v>67.5</v>
      </c>
      <c r="F92" s="1">
        <v>69.11</v>
      </c>
      <c r="G92" s="1">
        <v>69.150000000000006</v>
      </c>
      <c r="H92" s="1">
        <v>68.12</v>
      </c>
      <c r="I92" s="1">
        <v>68.19</v>
      </c>
      <c r="J92" s="1">
        <v>68.19</v>
      </c>
      <c r="K92" s="1">
        <v>68.13</v>
      </c>
      <c r="L92" s="1">
        <v>66.88</v>
      </c>
      <c r="M92" s="1">
        <v>68.739999999999995</v>
      </c>
      <c r="N92" s="1">
        <v>72.349999999999994</v>
      </c>
      <c r="O92" s="1">
        <v>69.400000000000006</v>
      </c>
      <c r="P92" s="1">
        <v>70.36</v>
      </c>
    </row>
    <row r="93" spans="1:16" x14ac:dyDescent="0.3">
      <c r="A93" s="1" t="s">
        <v>5</v>
      </c>
      <c r="B93" s="1" t="s">
        <v>11</v>
      </c>
      <c r="C93" s="1" t="s">
        <v>53</v>
      </c>
      <c r="D93" s="1" t="s">
        <v>83</v>
      </c>
      <c r="E93" s="1">
        <v>30.57</v>
      </c>
      <c r="F93" s="1">
        <v>31.46</v>
      </c>
      <c r="G93" s="1">
        <v>31.25</v>
      </c>
      <c r="H93" s="1">
        <v>30.49</v>
      </c>
      <c r="I93" s="1">
        <v>30.47</v>
      </c>
      <c r="J93" s="1">
        <v>31.13</v>
      </c>
      <c r="K93" s="1">
        <v>30.72</v>
      </c>
      <c r="L93" s="1">
        <v>30.38</v>
      </c>
      <c r="M93" s="1">
        <v>30.68</v>
      </c>
      <c r="N93" s="1">
        <v>31.07</v>
      </c>
      <c r="O93" s="1">
        <v>30.91</v>
      </c>
      <c r="P93" s="1">
        <v>30.29</v>
      </c>
    </row>
    <row r="94" spans="1:16" x14ac:dyDescent="0.3">
      <c r="A94" s="1" t="s">
        <v>5</v>
      </c>
      <c r="B94" s="1" t="s">
        <v>12</v>
      </c>
      <c r="C94" s="1" t="s">
        <v>54</v>
      </c>
      <c r="D94" s="1" t="s">
        <v>83</v>
      </c>
      <c r="E94" s="1">
        <v>125.69</v>
      </c>
      <c r="F94" s="1">
        <v>125.26</v>
      </c>
      <c r="G94" s="1">
        <v>124.99</v>
      </c>
      <c r="H94" s="1">
        <v>124.86</v>
      </c>
      <c r="I94" s="1">
        <v>124.76</v>
      </c>
      <c r="J94" s="1">
        <v>126.08</v>
      </c>
      <c r="K94" s="1">
        <v>125.81</v>
      </c>
      <c r="L94" s="1">
        <v>124.21</v>
      </c>
      <c r="M94" s="1">
        <v>125.89</v>
      </c>
      <c r="N94" s="1">
        <v>126.92</v>
      </c>
      <c r="O94" s="1">
        <v>126.31</v>
      </c>
      <c r="P94" s="1"/>
    </row>
    <row r="95" spans="1:16" x14ac:dyDescent="0.3">
      <c r="A95" s="1" t="s">
        <v>5</v>
      </c>
      <c r="B95" s="1" t="s">
        <v>13</v>
      </c>
      <c r="C95" s="1" t="s">
        <v>55</v>
      </c>
      <c r="D95" s="1" t="s">
        <v>83</v>
      </c>
      <c r="E95" s="1">
        <v>193.37</v>
      </c>
      <c r="F95" s="1">
        <v>192.95</v>
      </c>
      <c r="G95" s="1">
        <v>192.83</v>
      </c>
      <c r="H95" s="1">
        <v>192.71</v>
      </c>
      <c r="I95" s="1">
        <v>192.69</v>
      </c>
      <c r="J95" s="1">
        <v>192.49</v>
      </c>
      <c r="K95" s="1">
        <v>193.58</v>
      </c>
      <c r="L95" s="1">
        <v>192.63</v>
      </c>
      <c r="M95" s="1">
        <v>193.6</v>
      </c>
      <c r="N95" s="1">
        <v>196.26</v>
      </c>
      <c r="O95" s="1">
        <v>193.82</v>
      </c>
      <c r="P95" s="1">
        <v>197.25</v>
      </c>
    </row>
    <row r="96" spans="1:16" x14ac:dyDescent="0.3">
      <c r="A96" s="1" t="s">
        <v>5</v>
      </c>
      <c r="B96" s="1" t="s">
        <v>14</v>
      </c>
      <c r="C96" s="1" t="s">
        <v>56</v>
      </c>
      <c r="D96" s="1" t="s">
        <v>83</v>
      </c>
      <c r="E96" s="1">
        <v>96.89</v>
      </c>
      <c r="F96" s="1">
        <v>96.52</v>
      </c>
      <c r="G96" s="1">
        <v>96.34</v>
      </c>
      <c r="H96" s="1">
        <v>96.57</v>
      </c>
      <c r="I96" s="1">
        <v>96.44</v>
      </c>
      <c r="J96" s="1">
        <v>96.38</v>
      </c>
      <c r="K96" s="1">
        <v>96.65</v>
      </c>
      <c r="L96" s="1">
        <v>95.44</v>
      </c>
      <c r="M96" s="1">
        <v>96.68</v>
      </c>
      <c r="N96" s="1">
        <v>97.74</v>
      </c>
      <c r="O96" s="1">
        <v>97.21</v>
      </c>
      <c r="P96" s="1">
        <v>96.73</v>
      </c>
    </row>
    <row r="97" spans="1:16" x14ac:dyDescent="0.3">
      <c r="A97" s="1" t="s">
        <v>5</v>
      </c>
      <c r="B97" s="1" t="s">
        <v>15</v>
      </c>
      <c r="C97" s="1" t="s">
        <v>52</v>
      </c>
      <c r="D97" s="1" t="s">
        <v>83</v>
      </c>
      <c r="E97" s="1">
        <v>79.239999999999995</v>
      </c>
      <c r="F97" s="1">
        <v>77.989999999999995</v>
      </c>
      <c r="G97" s="1">
        <v>77.36</v>
      </c>
      <c r="H97" s="1">
        <v>77.89</v>
      </c>
      <c r="I97" s="1">
        <v>77.790000000000006</v>
      </c>
      <c r="J97" s="1">
        <v>77.67</v>
      </c>
      <c r="K97" s="1">
        <v>79.19</v>
      </c>
      <c r="L97" s="1">
        <v>79.16</v>
      </c>
      <c r="M97" s="1">
        <v>79.17</v>
      </c>
      <c r="N97" s="1">
        <v>78.83</v>
      </c>
      <c r="O97" s="1">
        <v>79.44</v>
      </c>
      <c r="P97" s="1"/>
    </row>
    <row r="98" spans="1:16" x14ac:dyDescent="0.3">
      <c r="A98" s="1" t="s">
        <v>5</v>
      </c>
      <c r="B98" s="1" t="s">
        <v>16</v>
      </c>
      <c r="C98" s="1" t="s">
        <v>57</v>
      </c>
      <c r="D98" s="1" t="s">
        <v>83</v>
      </c>
      <c r="E98" s="1">
        <v>71.34</v>
      </c>
      <c r="F98" s="1">
        <v>70.47</v>
      </c>
      <c r="G98" s="1">
        <v>70.55</v>
      </c>
      <c r="H98" s="1">
        <v>70.86</v>
      </c>
      <c r="I98" s="1">
        <v>70.59</v>
      </c>
      <c r="J98" s="1">
        <v>70.55</v>
      </c>
      <c r="K98" s="1">
        <v>71.25</v>
      </c>
      <c r="L98" s="1">
        <v>69.849999999999994</v>
      </c>
      <c r="M98" s="1">
        <v>71.22</v>
      </c>
      <c r="N98" s="1">
        <v>70.8</v>
      </c>
      <c r="O98" s="1">
        <v>71.47</v>
      </c>
      <c r="P98" s="1">
        <v>70.14</v>
      </c>
    </row>
    <row r="99" spans="1:16" x14ac:dyDescent="0.3">
      <c r="A99" s="1" t="s">
        <v>5</v>
      </c>
      <c r="B99" s="1" t="s">
        <v>17</v>
      </c>
      <c r="C99" s="1" t="s">
        <v>57</v>
      </c>
      <c r="D99" s="1" t="s">
        <v>83</v>
      </c>
      <c r="E99" s="1">
        <v>27.58</v>
      </c>
      <c r="F99" s="1">
        <v>27.38</v>
      </c>
      <c r="G99" s="1">
        <v>26.94</v>
      </c>
      <c r="H99" s="1">
        <v>27.31</v>
      </c>
      <c r="I99" s="1">
        <v>27.23</v>
      </c>
      <c r="J99" s="1">
        <v>26.99</v>
      </c>
      <c r="K99" s="1">
        <v>27.51</v>
      </c>
      <c r="L99" s="1">
        <v>26.33</v>
      </c>
      <c r="M99" s="1">
        <v>27.63</v>
      </c>
      <c r="N99" s="1">
        <v>28.34</v>
      </c>
      <c r="O99" s="1">
        <v>27.96</v>
      </c>
      <c r="P99" s="1"/>
    </row>
    <row r="100" spans="1:16" x14ac:dyDescent="0.3">
      <c r="A100" s="1" t="s">
        <v>5</v>
      </c>
      <c r="B100" s="1" t="s">
        <v>18</v>
      </c>
      <c r="C100" s="1" t="s">
        <v>57</v>
      </c>
      <c r="D100" s="1" t="s">
        <v>83</v>
      </c>
      <c r="E100" s="1">
        <v>44.64</v>
      </c>
      <c r="F100" s="1">
        <v>44.35</v>
      </c>
      <c r="G100" s="1">
        <v>43.5</v>
      </c>
      <c r="H100" s="1">
        <v>43.4</v>
      </c>
      <c r="I100" s="1">
        <v>43.59</v>
      </c>
      <c r="J100" s="1">
        <v>43.6</v>
      </c>
      <c r="K100" s="1">
        <v>45.25</v>
      </c>
      <c r="L100" s="1">
        <v>45.02</v>
      </c>
      <c r="M100" s="1">
        <v>45.54</v>
      </c>
      <c r="N100" s="1">
        <v>45.28</v>
      </c>
      <c r="O100" s="1">
        <v>45.11</v>
      </c>
      <c r="P100" s="1"/>
    </row>
    <row r="101" spans="1:16" x14ac:dyDescent="0.3">
      <c r="A101" s="1" t="s">
        <v>5</v>
      </c>
      <c r="B101" s="1" t="s">
        <v>19</v>
      </c>
      <c r="C101" s="1" t="s">
        <v>57</v>
      </c>
      <c r="D101" s="1" t="s">
        <v>83</v>
      </c>
      <c r="E101" s="1">
        <v>54.67</v>
      </c>
      <c r="F101" s="1">
        <v>54.24</v>
      </c>
      <c r="G101" s="1">
        <v>53.52</v>
      </c>
      <c r="H101" s="1">
        <v>53.47</v>
      </c>
      <c r="I101" s="1">
        <v>53.46</v>
      </c>
      <c r="J101" s="1">
        <v>53.54</v>
      </c>
      <c r="K101" s="1">
        <v>54.95</v>
      </c>
      <c r="L101" s="1">
        <v>54.84</v>
      </c>
      <c r="M101" s="1">
        <v>55.32</v>
      </c>
      <c r="N101" s="1">
        <v>54.46</v>
      </c>
      <c r="O101" s="1">
        <v>54.78</v>
      </c>
      <c r="P101" s="1"/>
    </row>
    <row r="102" spans="1:16" x14ac:dyDescent="0.3">
      <c r="A102" s="1" t="s">
        <v>5</v>
      </c>
      <c r="B102" s="1" t="s">
        <v>20</v>
      </c>
      <c r="C102" s="1" t="s">
        <v>50</v>
      </c>
      <c r="D102" s="1" t="s">
        <v>83</v>
      </c>
      <c r="E102" s="1">
        <v>15.49</v>
      </c>
      <c r="F102" s="1">
        <v>15.44</v>
      </c>
      <c r="G102" s="1">
        <v>15.2</v>
      </c>
      <c r="H102" s="1">
        <v>15.47</v>
      </c>
      <c r="I102" s="1">
        <v>15.46</v>
      </c>
      <c r="J102" s="1">
        <v>15.35</v>
      </c>
      <c r="K102" s="1">
        <v>15.78</v>
      </c>
      <c r="L102" s="1">
        <v>15.12</v>
      </c>
      <c r="M102" s="1">
        <v>15.63</v>
      </c>
      <c r="N102" s="1">
        <v>15.33</v>
      </c>
      <c r="O102" s="1">
        <v>15.46</v>
      </c>
      <c r="P102" s="1">
        <v>14.77</v>
      </c>
    </row>
    <row r="103" spans="1:16" x14ac:dyDescent="0.3">
      <c r="A103" s="1" t="s">
        <v>5</v>
      </c>
      <c r="B103" s="1" t="s">
        <v>20</v>
      </c>
      <c r="C103" s="1" t="s">
        <v>57</v>
      </c>
      <c r="D103" s="1" t="s">
        <v>83</v>
      </c>
      <c r="E103" s="1">
        <v>66.14</v>
      </c>
      <c r="F103" s="1">
        <v>66.11</v>
      </c>
      <c r="G103" s="1">
        <v>65.91</v>
      </c>
      <c r="H103" s="1">
        <v>65.94</v>
      </c>
      <c r="I103" s="1">
        <v>65.94</v>
      </c>
      <c r="J103" s="1">
        <v>65.790000000000006</v>
      </c>
      <c r="K103" s="1">
        <v>66.12</v>
      </c>
      <c r="L103" s="1">
        <v>62.05</v>
      </c>
      <c r="M103" s="1">
        <v>66.319999999999993</v>
      </c>
      <c r="N103" s="1">
        <v>67.55</v>
      </c>
      <c r="O103" s="1">
        <v>66.88</v>
      </c>
      <c r="P103" s="1">
        <v>66.42</v>
      </c>
    </row>
    <row r="104" spans="1:16" x14ac:dyDescent="0.3">
      <c r="A104" s="1" t="s">
        <v>5</v>
      </c>
      <c r="B104" s="1" t="s">
        <v>21</v>
      </c>
      <c r="C104" s="1" t="s">
        <v>50</v>
      </c>
      <c r="D104" s="1" t="s">
        <v>83</v>
      </c>
      <c r="E104" s="1">
        <v>58.72</v>
      </c>
      <c r="F104" s="1">
        <v>58.95</v>
      </c>
      <c r="G104" s="1">
        <v>59.01</v>
      </c>
      <c r="H104" s="1">
        <v>58.62</v>
      </c>
      <c r="I104" s="1">
        <v>58.66</v>
      </c>
      <c r="J104" s="1">
        <v>58.42</v>
      </c>
      <c r="K104" s="1">
        <v>58.77</v>
      </c>
      <c r="L104" s="1">
        <v>57.98</v>
      </c>
      <c r="M104" s="1">
        <v>58.9</v>
      </c>
      <c r="N104" s="1">
        <v>59.4</v>
      </c>
      <c r="O104" s="1">
        <v>59.06</v>
      </c>
      <c r="P104" s="1">
        <v>58.67</v>
      </c>
    </row>
    <row r="105" spans="1:16" x14ac:dyDescent="0.3">
      <c r="A105" s="1" t="s">
        <v>5</v>
      </c>
      <c r="B105" s="1" t="s">
        <v>21</v>
      </c>
      <c r="C105" s="1" t="s">
        <v>57</v>
      </c>
      <c r="D105" s="1" t="s">
        <v>83</v>
      </c>
      <c r="E105" s="1">
        <v>71.17</v>
      </c>
      <c r="F105" s="1">
        <v>70.7</v>
      </c>
      <c r="G105" s="1">
        <v>70.510000000000005</v>
      </c>
      <c r="H105" s="1">
        <v>70.92</v>
      </c>
      <c r="I105" s="1">
        <v>70.87</v>
      </c>
      <c r="J105" s="1">
        <v>70.56</v>
      </c>
      <c r="K105" s="1">
        <v>71.03</v>
      </c>
      <c r="L105" s="1">
        <v>69.540000000000006</v>
      </c>
      <c r="M105" s="1">
        <v>70.989999999999995</v>
      </c>
      <c r="N105" s="1">
        <v>73.05</v>
      </c>
      <c r="O105" s="1">
        <v>71.33</v>
      </c>
      <c r="P105" s="1">
        <v>70.05</v>
      </c>
    </row>
    <row r="106" spans="1:16" x14ac:dyDescent="0.3">
      <c r="A106" s="1" t="s">
        <v>5</v>
      </c>
      <c r="B106" s="1" t="s">
        <v>21</v>
      </c>
      <c r="C106" s="1" t="s">
        <v>57</v>
      </c>
      <c r="D106" s="1" t="s">
        <v>83</v>
      </c>
      <c r="E106" s="1">
        <v>72.72</v>
      </c>
      <c r="F106" s="1">
        <v>72.25</v>
      </c>
      <c r="G106" s="1">
        <v>71.900000000000006</v>
      </c>
      <c r="H106" s="1">
        <v>72.39</v>
      </c>
      <c r="I106" s="1">
        <v>72.349999999999994</v>
      </c>
      <c r="J106" s="1">
        <v>72.069999999999993</v>
      </c>
      <c r="K106" s="1">
        <v>72.63</v>
      </c>
      <c r="L106" s="1">
        <v>71.25</v>
      </c>
      <c r="M106" s="1">
        <v>72.63</v>
      </c>
      <c r="N106" s="1">
        <v>71.33</v>
      </c>
      <c r="O106" s="1">
        <v>72.92</v>
      </c>
      <c r="P106" s="1">
        <v>71.63</v>
      </c>
    </row>
    <row r="107" spans="1:16" x14ac:dyDescent="0.3">
      <c r="A107" s="1" t="s">
        <v>5</v>
      </c>
      <c r="B107" s="1" t="s">
        <v>22</v>
      </c>
      <c r="C107" s="1" t="s">
        <v>52</v>
      </c>
      <c r="D107" s="1" t="s">
        <v>83</v>
      </c>
      <c r="E107" s="1">
        <v>161.96</v>
      </c>
      <c r="F107" s="1">
        <v>162.57</v>
      </c>
      <c r="G107" s="1">
        <v>162.62</v>
      </c>
      <c r="H107" s="1">
        <v>161.93</v>
      </c>
      <c r="I107" s="1">
        <v>162.13</v>
      </c>
      <c r="J107" s="1">
        <v>162.01</v>
      </c>
      <c r="K107" s="1">
        <v>162.79</v>
      </c>
      <c r="L107" s="1">
        <v>162.29</v>
      </c>
      <c r="M107" s="1">
        <v>163.31</v>
      </c>
      <c r="N107" s="1">
        <v>166.01</v>
      </c>
      <c r="O107" s="1">
        <v>164.73</v>
      </c>
      <c r="P107" s="1">
        <v>165.53</v>
      </c>
    </row>
    <row r="108" spans="1:16" x14ac:dyDescent="0.3">
      <c r="A108" s="1" t="s">
        <v>5</v>
      </c>
      <c r="B108" s="1" t="s">
        <v>22</v>
      </c>
      <c r="C108" s="1" t="s">
        <v>50</v>
      </c>
      <c r="D108" s="1" t="s">
        <v>83</v>
      </c>
      <c r="E108" s="1">
        <v>35.65</v>
      </c>
      <c r="F108" s="1">
        <v>36.56</v>
      </c>
      <c r="G108" s="1">
        <v>36.5</v>
      </c>
      <c r="H108" s="1">
        <v>35.22</v>
      </c>
      <c r="I108" s="1">
        <v>35.25</v>
      </c>
      <c r="J108" s="1">
        <v>35.450000000000003</v>
      </c>
      <c r="K108" s="1">
        <v>36.15</v>
      </c>
      <c r="L108" s="1">
        <v>35.729999999999997</v>
      </c>
      <c r="M108" s="1">
        <v>36.57</v>
      </c>
      <c r="N108" s="1">
        <v>37.76</v>
      </c>
      <c r="O108" s="1">
        <v>36.89</v>
      </c>
      <c r="P108" s="1">
        <v>37.54</v>
      </c>
    </row>
    <row r="109" spans="1:16" x14ac:dyDescent="0.3">
      <c r="A109" s="1" t="s">
        <v>5</v>
      </c>
      <c r="B109" s="1" t="s">
        <v>22</v>
      </c>
      <c r="C109" s="1" t="s">
        <v>50</v>
      </c>
      <c r="D109" s="1" t="s">
        <v>83</v>
      </c>
      <c r="E109" s="1">
        <v>30.7</v>
      </c>
      <c r="F109" s="1">
        <v>31.39</v>
      </c>
      <c r="G109" s="1">
        <v>31.45</v>
      </c>
      <c r="H109" s="1">
        <v>30.64</v>
      </c>
      <c r="I109" s="1">
        <v>30.72</v>
      </c>
      <c r="J109" s="1">
        <v>30.71</v>
      </c>
      <c r="K109" s="1">
        <v>31.03</v>
      </c>
      <c r="L109" s="1">
        <v>30.73</v>
      </c>
      <c r="M109" s="1">
        <v>31.32</v>
      </c>
      <c r="N109" s="1">
        <v>30.96</v>
      </c>
      <c r="O109" s="1">
        <v>31.61</v>
      </c>
      <c r="P109" s="1">
        <v>32.03</v>
      </c>
    </row>
    <row r="110" spans="1:16" x14ac:dyDescent="0.3">
      <c r="A110" s="1" t="s">
        <v>5</v>
      </c>
      <c r="B110" s="1" t="s">
        <v>23</v>
      </c>
      <c r="C110" s="1" t="s">
        <v>57</v>
      </c>
      <c r="D110" s="1" t="s">
        <v>83</v>
      </c>
      <c r="E110" s="1">
        <v>67.650000000000006</v>
      </c>
      <c r="F110" s="1">
        <v>67.47</v>
      </c>
      <c r="G110" s="1">
        <v>67.14</v>
      </c>
      <c r="H110" s="1">
        <v>67.17</v>
      </c>
      <c r="I110" s="1">
        <v>67.16</v>
      </c>
      <c r="J110" s="1">
        <v>66.95</v>
      </c>
      <c r="K110" s="1">
        <v>67.599999999999994</v>
      </c>
      <c r="L110" s="1">
        <v>66.36</v>
      </c>
      <c r="M110" s="1">
        <v>67.72</v>
      </c>
      <c r="N110" s="1">
        <v>68.52</v>
      </c>
      <c r="O110" s="1">
        <v>68.11</v>
      </c>
      <c r="P110" s="1">
        <v>67.19</v>
      </c>
    </row>
    <row r="111" spans="1:16" x14ac:dyDescent="0.3">
      <c r="A111" s="1" t="s">
        <v>5</v>
      </c>
      <c r="B111" s="1" t="s">
        <v>24</v>
      </c>
      <c r="C111" s="1" t="s">
        <v>50</v>
      </c>
      <c r="D111" s="1" t="s">
        <v>83</v>
      </c>
      <c r="E111" s="1">
        <v>58.72</v>
      </c>
      <c r="F111" s="1">
        <v>59.02</v>
      </c>
      <c r="G111" s="1">
        <v>59.08</v>
      </c>
      <c r="H111" s="1">
        <v>58.63</v>
      </c>
      <c r="I111" s="1">
        <v>58.68</v>
      </c>
      <c r="J111" s="1">
        <v>58.31</v>
      </c>
      <c r="K111" s="1">
        <v>58.45</v>
      </c>
      <c r="L111" s="1">
        <v>58.03</v>
      </c>
      <c r="M111" s="1">
        <v>58.89</v>
      </c>
      <c r="N111" s="1">
        <v>59.52</v>
      </c>
      <c r="O111" s="1">
        <v>59.06</v>
      </c>
      <c r="P111" s="1">
        <v>58.67</v>
      </c>
    </row>
    <row r="112" spans="1:16" x14ac:dyDescent="0.3">
      <c r="A112" s="1" t="s">
        <v>5</v>
      </c>
      <c r="B112" s="1" t="s">
        <v>24</v>
      </c>
      <c r="C112" s="1" t="s">
        <v>57</v>
      </c>
      <c r="D112" s="1" t="s">
        <v>83</v>
      </c>
      <c r="E112" s="1">
        <v>72.58</v>
      </c>
      <c r="F112" s="1">
        <v>72.239999999999995</v>
      </c>
      <c r="G112" s="1">
        <v>71.84</v>
      </c>
      <c r="H112" s="1">
        <v>72.25</v>
      </c>
      <c r="I112" s="1">
        <v>72.209999999999994</v>
      </c>
      <c r="J112" s="1">
        <v>71.81</v>
      </c>
      <c r="K112" s="1">
        <v>72.47</v>
      </c>
      <c r="L112" s="1">
        <v>71.17</v>
      </c>
      <c r="M112" s="1">
        <v>72.47</v>
      </c>
      <c r="N112" s="1">
        <v>72.87</v>
      </c>
      <c r="O112" s="1">
        <v>72.72</v>
      </c>
      <c r="P112" s="1">
        <v>71.489999999999995</v>
      </c>
    </row>
    <row r="113" spans="1:16" x14ac:dyDescent="0.3">
      <c r="A113" s="1" t="s">
        <v>5</v>
      </c>
      <c r="B113" s="1" t="s">
        <v>25</v>
      </c>
      <c r="C113" s="1" t="s">
        <v>50</v>
      </c>
      <c r="D113" s="1" t="s">
        <v>83</v>
      </c>
      <c r="E113" s="1">
        <v>6.79</v>
      </c>
      <c r="F113" s="1">
        <v>6.91</v>
      </c>
      <c r="G113" s="1">
        <v>6.89</v>
      </c>
      <c r="H113" s="1">
        <v>6.94</v>
      </c>
      <c r="I113" s="1">
        <v>6.96</v>
      </c>
      <c r="J113" s="1">
        <v>6.91</v>
      </c>
      <c r="K113" s="1">
        <v>6.88</v>
      </c>
      <c r="L113" s="1">
        <v>6.61</v>
      </c>
      <c r="M113" s="1">
        <v>6.99</v>
      </c>
      <c r="N113" s="1">
        <v>7.01</v>
      </c>
      <c r="O113" s="1">
        <v>6.98</v>
      </c>
      <c r="P113" s="1"/>
    </row>
    <row r="114" spans="1:16" x14ac:dyDescent="0.3">
      <c r="A114" s="1" t="s">
        <v>5</v>
      </c>
      <c r="B114" s="1" t="s">
        <v>26</v>
      </c>
      <c r="C114" s="1" t="s">
        <v>50</v>
      </c>
      <c r="D114" s="1" t="s">
        <v>83</v>
      </c>
      <c r="E114" s="1">
        <v>18.899999999999999</v>
      </c>
      <c r="F114" s="1">
        <v>18.690000000000001</v>
      </c>
      <c r="G114" s="1">
        <v>18.41</v>
      </c>
      <c r="H114" s="1">
        <v>18.78</v>
      </c>
      <c r="I114" s="1">
        <v>18.72</v>
      </c>
      <c r="J114" s="1">
        <v>18.55</v>
      </c>
      <c r="K114" s="1">
        <v>18.89</v>
      </c>
      <c r="L114" s="1">
        <v>18.510000000000002</v>
      </c>
      <c r="M114" s="1">
        <v>18.8</v>
      </c>
      <c r="N114" s="1">
        <v>18.11</v>
      </c>
      <c r="O114" s="1">
        <v>18.399999999999999</v>
      </c>
      <c r="P114" s="1">
        <v>17.47</v>
      </c>
    </row>
    <row r="115" spans="1:16" x14ac:dyDescent="0.3">
      <c r="A115" s="1" t="s">
        <v>5</v>
      </c>
      <c r="B115" s="1" t="s">
        <v>26</v>
      </c>
      <c r="C115" s="1" t="s">
        <v>57</v>
      </c>
      <c r="D115" s="1" t="s">
        <v>83</v>
      </c>
      <c r="E115" s="1">
        <v>57.6</v>
      </c>
      <c r="F115" s="1">
        <v>58.57</v>
      </c>
      <c r="G115" s="1">
        <v>58.28</v>
      </c>
      <c r="H115" s="1">
        <v>57.81</v>
      </c>
      <c r="I115" s="1">
        <v>57.86</v>
      </c>
      <c r="J115" s="1">
        <v>57.63</v>
      </c>
      <c r="K115" s="1">
        <v>57.72</v>
      </c>
      <c r="L115" s="1">
        <v>56.07</v>
      </c>
      <c r="M115" s="1">
        <v>57.96</v>
      </c>
      <c r="N115" s="1">
        <v>59.68</v>
      </c>
      <c r="O115" s="1">
        <v>58.26</v>
      </c>
      <c r="P115" s="1">
        <v>58.05</v>
      </c>
    </row>
    <row r="116" spans="1:16" x14ac:dyDescent="0.3">
      <c r="A116" s="1" t="s">
        <v>5</v>
      </c>
      <c r="B116" s="1" t="s">
        <v>27</v>
      </c>
      <c r="C116" s="1" t="s">
        <v>58</v>
      </c>
      <c r="D116" s="1" t="s">
        <v>83</v>
      </c>
      <c r="E116" s="1">
        <v>20.45</v>
      </c>
      <c r="F116" s="1">
        <v>21.15</v>
      </c>
      <c r="G116" s="1">
        <v>21.04</v>
      </c>
      <c r="H116" s="1">
        <v>20.46</v>
      </c>
      <c r="I116" s="1">
        <v>20.56</v>
      </c>
      <c r="J116" s="1">
        <v>20.5</v>
      </c>
      <c r="K116" s="1">
        <v>20.83</v>
      </c>
      <c r="L116" s="1">
        <v>20.68</v>
      </c>
      <c r="M116" s="1">
        <v>21.16</v>
      </c>
      <c r="N116" s="1">
        <v>21.18</v>
      </c>
      <c r="O116" s="1">
        <v>20.88</v>
      </c>
      <c r="P116" s="1">
        <v>21.15</v>
      </c>
    </row>
    <row r="117" spans="1:16" x14ac:dyDescent="0.3">
      <c r="A117" s="1" t="s">
        <v>5</v>
      </c>
      <c r="B117" s="1" t="s">
        <v>27</v>
      </c>
      <c r="C117" s="1" t="s">
        <v>49</v>
      </c>
      <c r="D117" s="1" t="s">
        <v>83</v>
      </c>
      <c r="E117" s="1">
        <v>170.32</v>
      </c>
      <c r="F117" s="1">
        <v>171.24</v>
      </c>
      <c r="G117" s="1">
        <v>171.36</v>
      </c>
      <c r="H117" s="1">
        <v>170.02</v>
      </c>
      <c r="I117" s="1">
        <v>170.44</v>
      </c>
      <c r="J117" s="1">
        <v>170.2</v>
      </c>
      <c r="K117" s="1">
        <v>170.96</v>
      </c>
      <c r="L117" s="1">
        <v>170.31</v>
      </c>
      <c r="M117" s="1">
        <v>171.68</v>
      </c>
      <c r="N117" s="1">
        <v>175.55</v>
      </c>
      <c r="O117" s="1">
        <v>172.89</v>
      </c>
      <c r="P117" s="1">
        <v>175.26</v>
      </c>
    </row>
    <row r="118" spans="1:16" x14ac:dyDescent="0.3">
      <c r="A118" s="1" t="s">
        <v>5</v>
      </c>
      <c r="B118" s="1" t="s">
        <v>27</v>
      </c>
      <c r="C118" s="1" t="s">
        <v>57</v>
      </c>
      <c r="D118" s="1" t="s">
        <v>83</v>
      </c>
      <c r="E118" s="1">
        <v>60.3</v>
      </c>
      <c r="F118" s="1">
        <v>60.63</v>
      </c>
      <c r="G118" s="1">
        <v>60.49</v>
      </c>
      <c r="H118" s="1">
        <v>60.08</v>
      </c>
      <c r="I118" s="1">
        <v>60.21</v>
      </c>
      <c r="J118" s="1">
        <v>60.06</v>
      </c>
      <c r="K118" s="1">
        <v>60.56</v>
      </c>
      <c r="L118" s="1">
        <v>59.74</v>
      </c>
      <c r="M118" s="1">
        <v>60.98</v>
      </c>
      <c r="N118" s="1">
        <v>62.7</v>
      </c>
      <c r="O118" s="1">
        <v>61.5</v>
      </c>
      <c r="P118" s="1">
        <v>62.32</v>
      </c>
    </row>
    <row r="119" spans="1:16" x14ac:dyDescent="0.3">
      <c r="A119" s="1" t="s">
        <v>5</v>
      </c>
      <c r="B119" s="1" t="s">
        <v>27</v>
      </c>
      <c r="C119" s="1" t="s">
        <v>50</v>
      </c>
      <c r="D119" s="1" t="s">
        <v>83</v>
      </c>
      <c r="E119" s="1">
        <v>14.37</v>
      </c>
      <c r="F119" s="1">
        <v>14.37</v>
      </c>
      <c r="G119" s="1">
        <v>14.19</v>
      </c>
      <c r="H119" s="1">
        <v>14.23</v>
      </c>
      <c r="I119" s="1">
        <v>14.19</v>
      </c>
      <c r="J119" s="1">
        <v>14.07</v>
      </c>
      <c r="K119" s="1">
        <v>14.5</v>
      </c>
      <c r="L119" s="1">
        <v>14.4</v>
      </c>
      <c r="M119" s="1">
        <v>14.54</v>
      </c>
      <c r="N119" s="1">
        <v>14.36</v>
      </c>
      <c r="O119" s="1">
        <v>14.49</v>
      </c>
      <c r="P119" s="1">
        <v>13.92</v>
      </c>
    </row>
    <row r="120" spans="1:16" x14ac:dyDescent="0.3">
      <c r="A120" s="1" t="s">
        <v>5</v>
      </c>
      <c r="B120" s="1" t="s">
        <v>28</v>
      </c>
      <c r="C120" s="1" t="s">
        <v>57</v>
      </c>
      <c r="D120" s="1" t="s">
        <v>83</v>
      </c>
      <c r="E120" s="1">
        <v>123.09</v>
      </c>
      <c r="F120" s="1">
        <v>123.2</v>
      </c>
      <c r="G120" s="1">
        <v>123.13</v>
      </c>
      <c r="H120" s="1">
        <v>122.92</v>
      </c>
      <c r="I120" s="1">
        <v>122.96</v>
      </c>
      <c r="J120" s="1">
        <v>122.95</v>
      </c>
      <c r="K120" s="1">
        <v>123.47</v>
      </c>
      <c r="L120" s="1">
        <v>123.52</v>
      </c>
      <c r="M120" s="1">
        <v>123.69</v>
      </c>
      <c r="N120" s="1">
        <v>124.08</v>
      </c>
      <c r="O120" s="1">
        <v>123.46</v>
      </c>
      <c r="P120" s="1"/>
    </row>
    <row r="121" spans="1:16" x14ac:dyDescent="0.3">
      <c r="A121" s="1" t="s">
        <v>5</v>
      </c>
      <c r="B121" s="1" t="s">
        <v>29</v>
      </c>
      <c r="C121" s="1" t="s">
        <v>57</v>
      </c>
      <c r="D121" s="1" t="s">
        <v>83</v>
      </c>
      <c r="E121" s="1">
        <v>64.349999999999994</v>
      </c>
      <c r="F121" s="1">
        <v>64.08</v>
      </c>
      <c r="G121" s="1">
        <v>63.79</v>
      </c>
      <c r="H121" s="1">
        <v>64.290000000000006</v>
      </c>
      <c r="I121" s="1">
        <v>64.34</v>
      </c>
      <c r="J121" s="1">
        <v>64.03</v>
      </c>
      <c r="K121" s="1">
        <v>64.260000000000005</v>
      </c>
      <c r="L121" s="1">
        <v>62.76</v>
      </c>
      <c r="M121" s="1">
        <v>64.22</v>
      </c>
      <c r="N121" s="1">
        <v>64.87</v>
      </c>
      <c r="O121" s="1">
        <v>64.3</v>
      </c>
      <c r="P121" s="1">
        <v>63.17</v>
      </c>
    </row>
    <row r="122" spans="1:16" x14ac:dyDescent="0.3">
      <c r="A122" s="1" t="s">
        <v>5</v>
      </c>
      <c r="B122" s="1" t="s">
        <v>116</v>
      </c>
      <c r="C122" s="1" t="s">
        <v>57</v>
      </c>
      <c r="D122" s="1" t="s">
        <v>83</v>
      </c>
      <c r="E122" s="1">
        <v>30.45</v>
      </c>
      <c r="F122" s="1">
        <v>30.14</v>
      </c>
      <c r="G122" s="1">
        <v>29.71</v>
      </c>
      <c r="H122" s="1">
        <v>30.31</v>
      </c>
      <c r="I122" s="1">
        <v>30.22</v>
      </c>
      <c r="J122" s="1">
        <v>30.11</v>
      </c>
      <c r="K122" s="1"/>
      <c r="L122" s="1"/>
      <c r="M122" s="1"/>
      <c r="N122" s="1"/>
      <c r="O122" s="1"/>
      <c r="P122" s="1"/>
    </row>
    <row r="123" spans="1:16" x14ac:dyDescent="0.3">
      <c r="A123" s="1" t="s">
        <v>5</v>
      </c>
      <c r="B123" s="1" t="s">
        <v>30</v>
      </c>
      <c r="C123" s="1" t="s">
        <v>59</v>
      </c>
      <c r="D123" s="1" t="s">
        <v>83</v>
      </c>
      <c r="E123" s="1">
        <v>131.88</v>
      </c>
      <c r="F123" s="1">
        <v>132.09</v>
      </c>
      <c r="G123" s="1">
        <v>132.21</v>
      </c>
      <c r="H123" s="1">
        <v>131.72</v>
      </c>
      <c r="I123" s="1">
        <v>131.79</v>
      </c>
      <c r="J123" s="1">
        <v>131.54</v>
      </c>
      <c r="K123" s="1">
        <v>132.22</v>
      </c>
      <c r="L123" s="1">
        <v>131.1</v>
      </c>
      <c r="M123" s="1">
        <v>132.61000000000001</v>
      </c>
      <c r="N123" s="1">
        <v>134.04</v>
      </c>
      <c r="O123" s="1">
        <v>132.53</v>
      </c>
      <c r="P123" s="1"/>
    </row>
    <row r="124" spans="1:16" x14ac:dyDescent="0.3">
      <c r="A124" s="1" t="s">
        <v>5</v>
      </c>
      <c r="B124" s="1" t="s">
        <v>30</v>
      </c>
      <c r="C124" s="1" t="s">
        <v>50</v>
      </c>
      <c r="D124" s="1" t="s">
        <v>83</v>
      </c>
      <c r="E124" s="1">
        <v>16.71</v>
      </c>
      <c r="F124" s="1">
        <v>16.93</v>
      </c>
      <c r="G124" s="1">
        <v>16.98</v>
      </c>
      <c r="H124" s="1">
        <v>16.84</v>
      </c>
      <c r="I124" s="1">
        <v>16.95</v>
      </c>
      <c r="J124" s="1">
        <v>16.68</v>
      </c>
      <c r="K124" s="1">
        <v>16.86</v>
      </c>
      <c r="L124" s="1">
        <v>16.600000000000001</v>
      </c>
      <c r="M124" s="1">
        <v>16.940000000000001</v>
      </c>
      <c r="N124" s="1">
        <v>17.04</v>
      </c>
      <c r="O124" s="1">
        <v>16.899999999999999</v>
      </c>
      <c r="P124" s="1"/>
    </row>
    <row r="125" spans="1:16" x14ac:dyDescent="0.3">
      <c r="A125" s="1" t="s">
        <v>5</v>
      </c>
      <c r="B125" s="1" t="s">
        <v>31</v>
      </c>
      <c r="C125" s="1" t="s">
        <v>50</v>
      </c>
      <c r="D125" s="1" t="s">
        <v>83</v>
      </c>
      <c r="E125" s="1">
        <v>14.22</v>
      </c>
      <c r="F125" s="1">
        <v>14.28</v>
      </c>
      <c r="G125" s="1">
        <v>14.14</v>
      </c>
      <c r="H125" s="1">
        <v>14.34</v>
      </c>
      <c r="I125" s="1">
        <v>14.32</v>
      </c>
      <c r="J125" s="1">
        <v>14.18</v>
      </c>
      <c r="K125" s="1">
        <v>14.34</v>
      </c>
      <c r="L125" s="1">
        <v>13.88</v>
      </c>
      <c r="M125" s="1">
        <v>14.43</v>
      </c>
      <c r="N125" s="1">
        <v>14.63</v>
      </c>
      <c r="O125" s="1">
        <v>14.45</v>
      </c>
      <c r="P125" s="1"/>
    </row>
    <row r="126" spans="1:16" x14ac:dyDescent="0.3">
      <c r="A126" s="1" t="s">
        <v>5</v>
      </c>
      <c r="B126" s="1" t="s">
        <v>31</v>
      </c>
      <c r="C126" s="1" t="s">
        <v>60</v>
      </c>
      <c r="D126" s="1" t="s">
        <v>83</v>
      </c>
      <c r="E126" s="1">
        <v>23.33</v>
      </c>
      <c r="F126" s="1">
        <v>23.07</v>
      </c>
      <c r="G126" s="1">
        <v>22.7</v>
      </c>
      <c r="H126" s="1">
        <v>23.12</v>
      </c>
      <c r="I126" s="1">
        <v>23.04</v>
      </c>
      <c r="J126" s="1">
        <v>22.86</v>
      </c>
      <c r="K126" s="1">
        <v>23.28</v>
      </c>
      <c r="L126" s="1">
        <v>22.05</v>
      </c>
      <c r="M126" s="1">
        <v>23.4</v>
      </c>
      <c r="N126" s="1">
        <v>24.06</v>
      </c>
      <c r="O126" s="1">
        <v>23.68</v>
      </c>
      <c r="P126" s="1"/>
    </row>
    <row r="127" spans="1:16" x14ac:dyDescent="0.3">
      <c r="A127" s="1" t="s">
        <v>5</v>
      </c>
      <c r="B127" s="1" t="s">
        <v>31</v>
      </c>
      <c r="C127" s="1" t="s">
        <v>61</v>
      </c>
      <c r="D127" s="1" t="s">
        <v>83</v>
      </c>
      <c r="E127" s="1">
        <v>32.340000000000003</v>
      </c>
      <c r="F127" s="1">
        <v>32.01</v>
      </c>
      <c r="G127" s="1">
        <v>31.64</v>
      </c>
      <c r="H127" s="1">
        <v>32.06</v>
      </c>
      <c r="I127" s="1">
        <v>31.96</v>
      </c>
      <c r="J127" s="1">
        <v>31.77</v>
      </c>
      <c r="K127" s="1">
        <v>32.299999999999997</v>
      </c>
      <c r="L127" s="1">
        <v>30.95</v>
      </c>
      <c r="M127" s="1">
        <v>32.36</v>
      </c>
      <c r="N127" s="1">
        <v>33.17</v>
      </c>
      <c r="O127" s="1">
        <v>32.729999999999997</v>
      </c>
      <c r="P127" s="1"/>
    </row>
    <row r="128" spans="1:16" x14ac:dyDescent="0.3">
      <c r="A128" s="1" t="s">
        <v>5</v>
      </c>
      <c r="B128" s="1" t="s">
        <v>32</v>
      </c>
      <c r="C128" s="1" t="s">
        <v>50</v>
      </c>
      <c r="D128" s="1" t="s">
        <v>83</v>
      </c>
      <c r="E128" s="1">
        <v>1.83</v>
      </c>
      <c r="F128" s="1">
        <v>1.96</v>
      </c>
      <c r="G128" s="1">
        <v>1.97</v>
      </c>
      <c r="H128" s="1">
        <v>1.99</v>
      </c>
      <c r="I128" s="1">
        <v>2.0499999999999998</v>
      </c>
      <c r="J128" s="1">
        <v>1.92</v>
      </c>
      <c r="K128" s="1">
        <v>2.0099999999999998</v>
      </c>
      <c r="L128" s="1">
        <v>1.96</v>
      </c>
      <c r="M128" s="1">
        <v>2.0699999999999998</v>
      </c>
      <c r="N128" s="1">
        <v>2.09</v>
      </c>
      <c r="O128" s="1">
        <v>1.99</v>
      </c>
      <c r="P128" s="1">
        <v>2.31</v>
      </c>
    </row>
    <row r="129" spans="1:16" x14ac:dyDescent="0.3">
      <c r="A129" s="1" t="s">
        <v>5</v>
      </c>
      <c r="B129" s="1" t="s">
        <v>33</v>
      </c>
      <c r="C129" s="1" t="s">
        <v>50</v>
      </c>
      <c r="D129" s="1" t="s">
        <v>83</v>
      </c>
      <c r="E129" s="1">
        <v>36.89</v>
      </c>
      <c r="F129" s="1">
        <v>36.99</v>
      </c>
      <c r="G129" s="1">
        <v>36.869999999999997</v>
      </c>
      <c r="H129" s="1">
        <v>36.799999999999997</v>
      </c>
      <c r="I129" s="1">
        <v>36.880000000000003</v>
      </c>
      <c r="J129" s="1">
        <v>36.64</v>
      </c>
      <c r="K129" s="1">
        <v>37.04</v>
      </c>
      <c r="L129" s="1">
        <v>36.42</v>
      </c>
      <c r="M129" s="1">
        <v>37.1</v>
      </c>
      <c r="N129" s="1">
        <v>37.21</v>
      </c>
      <c r="O129" s="1">
        <v>37</v>
      </c>
      <c r="P129" s="1">
        <v>36.46</v>
      </c>
    </row>
    <row r="130" spans="1:16" x14ac:dyDescent="0.3">
      <c r="A130" s="1" t="s">
        <v>5</v>
      </c>
      <c r="B130" s="1" t="s">
        <v>34</v>
      </c>
      <c r="C130" s="1" t="s">
        <v>62</v>
      </c>
      <c r="D130" s="1" t="s">
        <v>83</v>
      </c>
      <c r="E130" s="1">
        <v>135.72</v>
      </c>
      <c r="F130" s="1">
        <v>135.76</v>
      </c>
      <c r="G130" s="1">
        <v>135.38</v>
      </c>
      <c r="H130" s="1">
        <v>135.57</v>
      </c>
      <c r="I130" s="1">
        <v>135.76</v>
      </c>
      <c r="J130" s="1">
        <v>135.5</v>
      </c>
      <c r="K130" s="1">
        <v>135.88999999999999</v>
      </c>
      <c r="L130" s="1">
        <v>135.15</v>
      </c>
      <c r="M130" s="1">
        <v>136.33000000000001</v>
      </c>
      <c r="N130" s="1">
        <v>136.58000000000001</v>
      </c>
      <c r="O130" s="1">
        <v>136.31</v>
      </c>
      <c r="P130" s="1">
        <v>136.65</v>
      </c>
    </row>
    <row r="131" spans="1:16" x14ac:dyDescent="0.3">
      <c r="A131" s="1" t="s">
        <v>5</v>
      </c>
      <c r="B131" s="1" t="s">
        <v>34</v>
      </c>
      <c r="C131" s="1" t="s">
        <v>63</v>
      </c>
      <c r="D131" s="1" t="s">
        <v>83</v>
      </c>
      <c r="E131" s="1">
        <v>122.2</v>
      </c>
      <c r="F131" s="1">
        <v>122.16</v>
      </c>
      <c r="G131" s="1">
        <v>122</v>
      </c>
      <c r="H131" s="1">
        <v>122.13</v>
      </c>
      <c r="I131" s="1">
        <v>122.16</v>
      </c>
      <c r="J131" s="1">
        <v>121.96</v>
      </c>
      <c r="K131" s="1">
        <v>122.31</v>
      </c>
      <c r="L131" s="1">
        <v>121.55</v>
      </c>
      <c r="M131" s="1">
        <v>122.78</v>
      </c>
      <c r="N131" s="1">
        <v>122.93</v>
      </c>
      <c r="O131" s="1">
        <v>122.6</v>
      </c>
      <c r="P131" s="1">
        <v>122.43</v>
      </c>
    </row>
    <row r="132" spans="1:16" x14ac:dyDescent="0.3">
      <c r="A132" s="1" t="s">
        <v>5</v>
      </c>
      <c r="B132" s="1" t="s">
        <v>35</v>
      </c>
      <c r="C132" s="1" t="s">
        <v>64</v>
      </c>
      <c r="D132" s="1" t="s">
        <v>83</v>
      </c>
      <c r="E132" s="1">
        <v>-4.9000000000000004</v>
      </c>
      <c r="F132" s="1">
        <v>-4.33</v>
      </c>
      <c r="G132" s="1">
        <v>-4.63</v>
      </c>
      <c r="H132" s="1">
        <v>-4.34</v>
      </c>
      <c r="I132" s="1">
        <v>-4.29</v>
      </c>
      <c r="J132" s="1">
        <v>-4.33</v>
      </c>
      <c r="K132" s="1">
        <v>-5.33</v>
      </c>
      <c r="L132" s="1">
        <v>-4.01</v>
      </c>
      <c r="M132" s="1">
        <v>-4.6100000000000003</v>
      </c>
      <c r="N132" s="1">
        <v>-5.88</v>
      </c>
      <c r="O132" s="1">
        <v>-4.9000000000000004</v>
      </c>
      <c r="P132" s="1"/>
    </row>
    <row r="133" spans="1:16" x14ac:dyDescent="0.3">
      <c r="A133" s="1" t="s">
        <v>5</v>
      </c>
      <c r="B133" s="1" t="s">
        <v>36</v>
      </c>
      <c r="C133" s="1" t="s">
        <v>50</v>
      </c>
      <c r="D133" s="1" t="s">
        <v>83</v>
      </c>
      <c r="E133" s="1">
        <v>49.64</v>
      </c>
      <c r="F133" s="1">
        <v>50.45</v>
      </c>
      <c r="G133" s="1">
        <v>50.41</v>
      </c>
      <c r="H133" s="1">
        <v>49.9</v>
      </c>
      <c r="I133" s="1">
        <v>49.97</v>
      </c>
      <c r="J133" s="1">
        <v>49.66</v>
      </c>
      <c r="K133" s="1">
        <v>49.77</v>
      </c>
      <c r="L133" s="1">
        <v>48.59</v>
      </c>
      <c r="M133" s="1">
        <v>49.9</v>
      </c>
      <c r="N133" s="1">
        <v>50.67</v>
      </c>
      <c r="O133" s="1">
        <v>49.86</v>
      </c>
      <c r="P133" s="1">
        <v>49.5</v>
      </c>
    </row>
    <row r="134" spans="1:16" x14ac:dyDescent="0.3">
      <c r="A134" s="1" t="s">
        <v>5</v>
      </c>
      <c r="B134" s="1" t="s">
        <v>37</v>
      </c>
      <c r="C134" s="1" t="s">
        <v>50</v>
      </c>
      <c r="D134" s="1" t="s">
        <v>83</v>
      </c>
      <c r="E134" s="1">
        <v>62.49</v>
      </c>
      <c r="F134" s="1">
        <v>63.03</v>
      </c>
      <c r="G134" s="1">
        <v>62.5</v>
      </c>
      <c r="H134" s="1">
        <v>61.14</v>
      </c>
      <c r="I134" s="1">
        <v>61.16</v>
      </c>
      <c r="J134" s="1">
        <v>61.68</v>
      </c>
      <c r="K134" s="1">
        <v>63.21</v>
      </c>
      <c r="L134" s="1">
        <v>63.28</v>
      </c>
      <c r="M134" s="1">
        <v>63.66</v>
      </c>
      <c r="N134" s="1">
        <v>63.17</v>
      </c>
      <c r="O134" s="1">
        <v>63.08</v>
      </c>
      <c r="P134" s="1">
        <v>63.22</v>
      </c>
    </row>
    <row r="135" spans="1:16" x14ac:dyDescent="0.3">
      <c r="A135" s="1" t="s">
        <v>5</v>
      </c>
      <c r="B135" s="1" t="s">
        <v>38</v>
      </c>
      <c r="C135" s="1" t="s">
        <v>50</v>
      </c>
      <c r="D135" s="1" t="s">
        <v>83</v>
      </c>
      <c r="E135" s="1">
        <v>14.18</v>
      </c>
      <c r="F135" s="1">
        <v>14.24</v>
      </c>
      <c r="G135" s="1">
        <v>14.08</v>
      </c>
      <c r="H135" s="1">
        <v>14.27</v>
      </c>
      <c r="I135" s="1">
        <v>14.25</v>
      </c>
      <c r="J135" s="1">
        <v>14.1</v>
      </c>
      <c r="K135" s="1">
        <v>14.29</v>
      </c>
      <c r="L135" s="1">
        <v>13.28</v>
      </c>
      <c r="M135" s="1">
        <v>14.37</v>
      </c>
      <c r="N135" s="1">
        <v>14.54</v>
      </c>
      <c r="O135" s="1">
        <v>14.39</v>
      </c>
      <c r="P135" s="1"/>
    </row>
    <row r="136" spans="1:16" x14ac:dyDescent="0.3">
      <c r="A136" s="1" t="s">
        <v>5</v>
      </c>
      <c r="B136" s="1" t="s">
        <v>38</v>
      </c>
      <c r="C136" s="1" t="s">
        <v>65</v>
      </c>
      <c r="D136" s="1" t="s">
        <v>83</v>
      </c>
      <c r="E136" s="1">
        <v>23</v>
      </c>
      <c r="F136" s="1">
        <v>22.77</v>
      </c>
      <c r="G136" s="1">
        <v>22.38</v>
      </c>
      <c r="H136" s="1">
        <v>22.79</v>
      </c>
      <c r="I136" s="1">
        <v>22.72</v>
      </c>
      <c r="J136" s="1">
        <v>22.54</v>
      </c>
      <c r="K136" s="1">
        <v>22.98</v>
      </c>
      <c r="L136" s="1">
        <v>21.7</v>
      </c>
      <c r="M136" s="1">
        <v>23.08</v>
      </c>
      <c r="N136" s="1">
        <v>23.75</v>
      </c>
      <c r="O136" s="1">
        <v>23.38</v>
      </c>
      <c r="P136" s="1"/>
    </row>
    <row r="137" spans="1:16" x14ac:dyDescent="0.3">
      <c r="A137" s="1" t="s">
        <v>5</v>
      </c>
      <c r="B137" s="1" t="s">
        <v>38</v>
      </c>
      <c r="C137" s="1" t="s">
        <v>66</v>
      </c>
      <c r="D137" s="1" t="s">
        <v>83</v>
      </c>
      <c r="E137" s="1">
        <v>34.869999999999997</v>
      </c>
      <c r="F137" s="1">
        <v>34.57</v>
      </c>
      <c r="G137" s="1">
        <v>34.159999999999997</v>
      </c>
      <c r="H137" s="1">
        <v>34.54</v>
      </c>
      <c r="I137" s="1">
        <v>34.450000000000003</v>
      </c>
      <c r="J137" s="1">
        <v>34.26</v>
      </c>
      <c r="K137" s="1">
        <v>34.83</v>
      </c>
      <c r="L137" s="1">
        <v>33.479999999999997</v>
      </c>
      <c r="M137" s="1">
        <v>34.89</v>
      </c>
      <c r="N137" s="1">
        <v>35.76</v>
      </c>
      <c r="O137" s="1">
        <v>35.299999999999997</v>
      </c>
      <c r="P137" s="1"/>
    </row>
    <row r="138" spans="1:16" x14ac:dyDescent="0.3">
      <c r="A138" s="1" t="s">
        <v>5</v>
      </c>
      <c r="B138" s="1" t="s">
        <v>39</v>
      </c>
      <c r="C138" s="1" t="s">
        <v>50</v>
      </c>
      <c r="D138" s="1" t="s">
        <v>83</v>
      </c>
      <c r="E138" s="1">
        <v>16.600000000000001</v>
      </c>
      <c r="F138" s="1">
        <v>16.63</v>
      </c>
      <c r="G138" s="1">
        <v>16.63</v>
      </c>
      <c r="H138" s="1">
        <v>16.649999999999999</v>
      </c>
      <c r="I138" s="1">
        <v>16.66</v>
      </c>
      <c r="J138" s="1">
        <v>16.559999999999999</v>
      </c>
      <c r="K138" s="1">
        <v>16.68</v>
      </c>
      <c r="L138" s="1">
        <v>16.34</v>
      </c>
      <c r="M138" s="1">
        <v>16.73</v>
      </c>
      <c r="N138" s="1">
        <v>16.93</v>
      </c>
      <c r="O138" s="1">
        <v>16.8</v>
      </c>
      <c r="P138" s="1"/>
    </row>
    <row r="139" spans="1:16" x14ac:dyDescent="0.3">
      <c r="A139" s="1" t="s">
        <v>5</v>
      </c>
      <c r="B139" s="1" t="s">
        <v>39</v>
      </c>
      <c r="C139" s="1" t="s">
        <v>57</v>
      </c>
      <c r="D139" s="1" t="s">
        <v>83</v>
      </c>
      <c r="E139" s="1">
        <v>16.82</v>
      </c>
      <c r="F139" s="1">
        <v>16.63</v>
      </c>
      <c r="G139" s="1">
        <v>16.37</v>
      </c>
      <c r="H139" s="1">
        <v>16.63</v>
      </c>
      <c r="I139" s="1">
        <v>16.600000000000001</v>
      </c>
      <c r="J139" s="1">
        <v>16.48</v>
      </c>
      <c r="K139" s="1">
        <v>16.78</v>
      </c>
      <c r="L139" s="1">
        <v>15.67</v>
      </c>
      <c r="M139" s="1">
        <v>16.91</v>
      </c>
      <c r="N139" s="1">
        <v>17.46</v>
      </c>
      <c r="O139" s="1">
        <v>17.190000000000001</v>
      </c>
      <c r="P139" s="1"/>
    </row>
    <row r="140" spans="1:16" x14ac:dyDescent="0.3">
      <c r="A140" s="1" t="s">
        <v>5</v>
      </c>
      <c r="B140" s="1" t="s">
        <v>40</v>
      </c>
      <c r="C140" s="1" t="s">
        <v>50</v>
      </c>
      <c r="D140" s="1" t="s">
        <v>83</v>
      </c>
      <c r="E140" s="1">
        <v>25.7</v>
      </c>
      <c r="F140" s="1">
        <v>25.43</v>
      </c>
      <c r="G140" s="1">
        <v>25.14</v>
      </c>
      <c r="H140" s="1">
        <v>25.24</v>
      </c>
      <c r="I140" s="1">
        <v>25.18</v>
      </c>
      <c r="J140" s="1">
        <v>25.14</v>
      </c>
      <c r="K140" s="1">
        <v>25.67</v>
      </c>
      <c r="L140" s="1">
        <v>25.43</v>
      </c>
      <c r="M140" s="1">
        <v>25.55</v>
      </c>
      <c r="N140" s="1">
        <v>25.21</v>
      </c>
      <c r="O140" s="1">
        <v>25.27</v>
      </c>
      <c r="P140" s="1">
        <v>24.38</v>
      </c>
    </row>
    <row r="141" spans="1:16" x14ac:dyDescent="0.3">
      <c r="A141" s="1" t="s">
        <v>5</v>
      </c>
      <c r="B141" s="1" t="s">
        <v>40</v>
      </c>
      <c r="C141" s="1" t="s">
        <v>52</v>
      </c>
      <c r="D141" s="1" t="s">
        <v>83</v>
      </c>
      <c r="E141" s="1">
        <v>66.14</v>
      </c>
      <c r="F141" s="1">
        <v>64.67</v>
      </c>
      <c r="G141" s="1">
        <v>64.5</v>
      </c>
      <c r="H141" s="1">
        <v>64.12</v>
      </c>
      <c r="I141" s="1">
        <v>64.23</v>
      </c>
      <c r="J141" s="1">
        <v>64.180000000000007</v>
      </c>
      <c r="K141" s="1">
        <v>63.85</v>
      </c>
      <c r="L141" s="1">
        <v>64.92</v>
      </c>
      <c r="M141" s="1">
        <v>64.3</v>
      </c>
      <c r="N141" s="1">
        <v>66.69</v>
      </c>
      <c r="O141" s="1">
        <v>64.709999999999994</v>
      </c>
      <c r="P141" s="1">
        <v>64.88</v>
      </c>
    </row>
    <row r="142" spans="1:16" x14ac:dyDescent="0.3">
      <c r="A142" s="1" t="s">
        <v>5</v>
      </c>
      <c r="B142" s="1" t="s">
        <v>41</v>
      </c>
      <c r="C142" s="1" t="s">
        <v>50</v>
      </c>
      <c r="D142" s="1" t="s">
        <v>83</v>
      </c>
      <c r="E142" s="1">
        <v>19.27</v>
      </c>
      <c r="F142" s="1">
        <v>19.47</v>
      </c>
      <c r="G142" s="1">
        <v>19.5</v>
      </c>
      <c r="H142" s="1">
        <v>19.32</v>
      </c>
      <c r="I142" s="1">
        <v>19.38</v>
      </c>
      <c r="J142" s="1">
        <v>19.32</v>
      </c>
      <c r="K142" s="1">
        <v>19.420000000000002</v>
      </c>
      <c r="L142" s="1">
        <v>19.2</v>
      </c>
      <c r="M142" s="1">
        <v>19.48</v>
      </c>
      <c r="N142" s="1">
        <v>19.63</v>
      </c>
      <c r="O142" s="1">
        <v>19.5</v>
      </c>
      <c r="P142" s="1"/>
    </row>
    <row r="143" spans="1:16" x14ac:dyDescent="0.3">
      <c r="A143" s="1" t="s">
        <v>5</v>
      </c>
      <c r="B143" s="1" t="s">
        <v>41</v>
      </c>
      <c r="C143" s="1" t="s">
        <v>57</v>
      </c>
      <c r="D143" s="1" t="s">
        <v>83</v>
      </c>
      <c r="E143" s="1">
        <v>115.74</v>
      </c>
      <c r="F143" s="1">
        <v>115.7</v>
      </c>
      <c r="G143" s="1">
        <v>115.74</v>
      </c>
      <c r="H143" s="1">
        <v>115.89</v>
      </c>
      <c r="I143" s="1">
        <v>115.92</v>
      </c>
      <c r="J143" s="1">
        <v>115.86</v>
      </c>
      <c r="K143" s="1">
        <v>116.03</v>
      </c>
      <c r="L143" s="1">
        <v>116.07</v>
      </c>
      <c r="M143" s="1">
        <v>116.12</v>
      </c>
      <c r="N143" s="1">
        <v>116.38</v>
      </c>
      <c r="O143" s="1">
        <v>116.04</v>
      </c>
      <c r="P143" s="1"/>
    </row>
    <row r="144" spans="1:16" x14ac:dyDescent="0.3">
      <c r="A144" s="1" t="s">
        <v>5</v>
      </c>
      <c r="B144" s="1" t="s">
        <v>41</v>
      </c>
      <c r="C144" s="1" t="s">
        <v>52</v>
      </c>
      <c r="D144" s="1" t="s">
        <v>83</v>
      </c>
      <c r="E144" s="1">
        <v>134.02000000000001</v>
      </c>
      <c r="F144" s="1">
        <v>134.21</v>
      </c>
      <c r="G144" s="1">
        <v>133.91</v>
      </c>
      <c r="H144" s="1">
        <v>133.61000000000001</v>
      </c>
      <c r="I144" s="1">
        <v>133.69</v>
      </c>
      <c r="J144" s="1">
        <v>133.57</v>
      </c>
      <c r="K144" s="1">
        <v>134.34</v>
      </c>
      <c r="L144" s="1">
        <v>133.55000000000001</v>
      </c>
      <c r="M144" s="1">
        <v>134.78</v>
      </c>
      <c r="N144" s="1">
        <v>136</v>
      </c>
      <c r="O144" s="1">
        <v>134.61000000000001</v>
      </c>
      <c r="P144" s="1"/>
    </row>
    <row r="145" spans="1:16" x14ac:dyDescent="0.3">
      <c r="A145" s="1" t="s">
        <v>5</v>
      </c>
      <c r="B145" s="1" t="s">
        <v>42</v>
      </c>
      <c r="C145" s="1" t="s">
        <v>67</v>
      </c>
      <c r="D145" s="1" t="s">
        <v>83</v>
      </c>
      <c r="E145" s="1">
        <v>150.57</v>
      </c>
      <c r="F145" s="1">
        <v>150.27000000000001</v>
      </c>
      <c r="G145" s="1">
        <v>149.9</v>
      </c>
      <c r="H145" s="1">
        <v>150.25</v>
      </c>
      <c r="I145" s="1">
        <v>150.27000000000001</v>
      </c>
      <c r="J145" s="1">
        <v>149.93</v>
      </c>
      <c r="K145" s="1">
        <v>150.66999999999999</v>
      </c>
      <c r="L145" s="1">
        <v>149.58000000000001</v>
      </c>
      <c r="M145" s="1">
        <v>150.76</v>
      </c>
      <c r="N145" s="1">
        <v>149.76</v>
      </c>
      <c r="O145" s="1">
        <v>150.07</v>
      </c>
      <c r="P145" s="1">
        <v>149.18</v>
      </c>
    </row>
    <row r="146" spans="1:16" x14ac:dyDescent="0.3">
      <c r="A146" s="1" t="s">
        <v>5</v>
      </c>
      <c r="B146" s="1" t="s">
        <v>42</v>
      </c>
      <c r="C146" s="1" t="s">
        <v>68</v>
      </c>
      <c r="D146" s="1" t="s">
        <v>83</v>
      </c>
      <c r="E146" s="1">
        <v>124.08</v>
      </c>
      <c r="F146" s="1">
        <v>124.06</v>
      </c>
      <c r="G146" s="1">
        <v>123.75</v>
      </c>
      <c r="H146" s="1">
        <v>123.46</v>
      </c>
      <c r="I146" s="1">
        <v>123.58</v>
      </c>
      <c r="J146" s="1">
        <v>123.49</v>
      </c>
      <c r="K146" s="1">
        <v>124.57</v>
      </c>
      <c r="L146" s="1">
        <v>123.84</v>
      </c>
      <c r="M146" s="1">
        <v>127.76</v>
      </c>
      <c r="N146" s="1">
        <v>126.27</v>
      </c>
      <c r="O146" s="1">
        <v>125.53</v>
      </c>
      <c r="P146" s="1">
        <v>125.12</v>
      </c>
    </row>
    <row r="147" spans="1:16" x14ac:dyDescent="0.3">
      <c r="A147" s="1" t="s">
        <v>5</v>
      </c>
      <c r="B147" s="1" t="s">
        <v>42</v>
      </c>
      <c r="C147" s="1" t="s">
        <v>69</v>
      </c>
      <c r="D147" s="1" t="s">
        <v>83</v>
      </c>
      <c r="E147" s="1">
        <v>135.99</v>
      </c>
      <c r="F147" s="1">
        <v>136.16</v>
      </c>
      <c r="G147" s="1">
        <v>135.96</v>
      </c>
      <c r="H147" s="1">
        <v>135.16999999999999</v>
      </c>
      <c r="I147" s="1">
        <v>135.28</v>
      </c>
      <c r="J147" s="1">
        <v>135.32</v>
      </c>
      <c r="K147" s="1">
        <v>136.56</v>
      </c>
      <c r="L147" s="1">
        <v>136.05000000000001</v>
      </c>
      <c r="M147" s="1">
        <v>136.88999999999999</v>
      </c>
      <c r="N147" s="1">
        <v>139.62</v>
      </c>
      <c r="O147" s="1">
        <v>138.35</v>
      </c>
      <c r="P147" s="1">
        <v>138.27000000000001</v>
      </c>
    </row>
    <row r="148" spans="1:16" x14ac:dyDescent="0.3">
      <c r="A148" s="1" t="s">
        <v>5</v>
      </c>
      <c r="B148" s="1" t="s">
        <v>43</v>
      </c>
      <c r="C148" s="1" t="s">
        <v>70</v>
      </c>
      <c r="D148" s="1" t="s">
        <v>83</v>
      </c>
      <c r="E148" s="1">
        <v>118.03</v>
      </c>
      <c r="F148" s="1">
        <v>117.93</v>
      </c>
      <c r="G148" s="1">
        <v>117.77</v>
      </c>
      <c r="H148" s="1">
        <v>117.61</v>
      </c>
      <c r="I148" s="1">
        <v>117.78</v>
      </c>
      <c r="J148" s="1">
        <v>117.65</v>
      </c>
      <c r="K148" s="1">
        <v>117.98</v>
      </c>
      <c r="L148" s="1">
        <v>117.32</v>
      </c>
      <c r="M148" s="1">
        <v>118.47</v>
      </c>
      <c r="N148" s="1">
        <v>119.61</v>
      </c>
      <c r="O148" s="1">
        <v>118.28</v>
      </c>
      <c r="P148" s="1">
        <v>119.06</v>
      </c>
    </row>
    <row r="149" spans="1:16" x14ac:dyDescent="0.3">
      <c r="A149" s="1" t="s">
        <v>5</v>
      </c>
      <c r="B149" s="1" t="s">
        <v>43</v>
      </c>
      <c r="C149" s="1" t="s">
        <v>71</v>
      </c>
      <c r="D149" s="1" t="s">
        <v>83</v>
      </c>
      <c r="E149" s="1">
        <v>107.74</v>
      </c>
      <c r="F149" s="1">
        <v>108.02</v>
      </c>
      <c r="G149" s="1">
        <v>107.98</v>
      </c>
      <c r="H149" s="1">
        <v>108.15</v>
      </c>
      <c r="I149" s="1">
        <v>108.21</v>
      </c>
      <c r="J149" s="1">
        <v>108.03</v>
      </c>
      <c r="K149" s="1">
        <v>108.04</v>
      </c>
      <c r="L149" s="1">
        <v>107.07</v>
      </c>
      <c r="M149" s="1">
        <v>108.31</v>
      </c>
      <c r="N149" s="1">
        <v>108.85</v>
      </c>
      <c r="O149" s="1">
        <v>108.11</v>
      </c>
      <c r="P149" s="1">
        <v>107.83</v>
      </c>
    </row>
    <row r="150" spans="1:16" x14ac:dyDescent="0.3">
      <c r="A150" s="1" t="s">
        <v>5</v>
      </c>
      <c r="B150" s="1" t="s">
        <v>44</v>
      </c>
      <c r="C150" s="1" t="s">
        <v>60</v>
      </c>
      <c r="D150" s="1" t="s">
        <v>83</v>
      </c>
      <c r="E150" s="1">
        <v>45.82</v>
      </c>
      <c r="F150" s="1">
        <v>47.02</v>
      </c>
      <c r="G150" s="1">
        <v>46.93</v>
      </c>
      <c r="H150" s="1">
        <v>47.12</v>
      </c>
      <c r="I150" s="1">
        <v>46.86</v>
      </c>
      <c r="J150" s="1">
        <v>46.75</v>
      </c>
      <c r="K150" s="1"/>
      <c r="L150" s="1">
        <v>46.51</v>
      </c>
      <c r="M150" s="1">
        <v>47.57</v>
      </c>
      <c r="N150" s="1">
        <v>47.43</v>
      </c>
      <c r="O150" s="1">
        <v>47.23</v>
      </c>
      <c r="P150" s="1">
        <v>46.83</v>
      </c>
    </row>
    <row r="151" spans="1:16" x14ac:dyDescent="0.3">
      <c r="A151" s="1" t="s">
        <v>5</v>
      </c>
      <c r="B151" s="1" t="s">
        <v>44</v>
      </c>
      <c r="C151" s="1" t="s">
        <v>61</v>
      </c>
      <c r="D151" s="1" t="s">
        <v>83</v>
      </c>
      <c r="E151" s="1">
        <v>26.17</v>
      </c>
      <c r="F151" s="1">
        <v>25.83</v>
      </c>
      <c r="G151" s="1">
        <v>25.56</v>
      </c>
      <c r="H151" s="1">
        <v>25.75</v>
      </c>
      <c r="I151" s="1">
        <v>25.65</v>
      </c>
      <c r="J151" s="1">
        <v>25.59</v>
      </c>
      <c r="K151" s="1"/>
      <c r="L151" s="1">
        <v>25.26</v>
      </c>
      <c r="M151" s="1">
        <v>26.34</v>
      </c>
      <c r="N151" s="1">
        <v>25.73</v>
      </c>
      <c r="O151" s="1">
        <v>26.29</v>
      </c>
      <c r="P151" s="1">
        <v>25.86</v>
      </c>
    </row>
    <row r="152" spans="1:16" x14ac:dyDescent="0.3">
      <c r="A152" s="1" t="s">
        <v>5</v>
      </c>
      <c r="B152" s="1" t="s">
        <v>45</v>
      </c>
      <c r="C152" s="1" t="s">
        <v>50</v>
      </c>
      <c r="D152" s="1" t="s">
        <v>83</v>
      </c>
      <c r="E152" s="1">
        <v>1.2</v>
      </c>
      <c r="F152" s="1">
        <v>1.22</v>
      </c>
      <c r="G152" s="1">
        <v>1.19</v>
      </c>
      <c r="H152" s="1">
        <v>1.37</v>
      </c>
      <c r="I152" s="1">
        <v>1.38</v>
      </c>
      <c r="J152" s="1">
        <v>1.0900000000000001</v>
      </c>
      <c r="K152" s="1">
        <v>1.4</v>
      </c>
      <c r="L152" s="1"/>
      <c r="M152" s="1"/>
      <c r="N152" s="1">
        <v>2.87</v>
      </c>
      <c r="O152" s="1">
        <v>2.1</v>
      </c>
      <c r="P152" s="1"/>
    </row>
    <row r="153" spans="1:16" x14ac:dyDescent="0.3">
      <c r="A153" s="1" t="s">
        <v>5</v>
      </c>
      <c r="B153" s="1" t="s">
        <v>46</v>
      </c>
      <c r="C153" s="1" t="s">
        <v>60</v>
      </c>
      <c r="D153" s="1" t="s">
        <v>83</v>
      </c>
      <c r="E153" s="1">
        <v>68.03</v>
      </c>
      <c r="F153" s="1">
        <v>68.16</v>
      </c>
      <c r="G153" s="1">
        <v>67.97</v>
      </c>
      <c r="H153" s="1">
        <v>67.75</v>
      </c>
      <c r="I153" s="1">
        <v>67.8</v>
      </c>
      <c r="J153" s="1">
        <v>67.64</v>
      </c>
      <c r="K153" s="1">
        <v>68.069999999999993</v>
      </c>
      <c r="L153" s="1">
        <v>67.03</v>
      </c>
      <c r="M153" s="1">
        <v>68.33</v>
      </c>
      <c r="N153" s="1">
        <v>69.53</v>
      </c>
      <c r="O153" s="1">
        <v>68.83</v>
      </c>
      <c r="P153" s="1">
        <v>68.680000000000007</v>
      </c>
    </row>
    <row r="154" spans="1:16" x14ac:dyDescent="0.3">
      <c r="A154" s="1" t="s">
        <v>5</v>
      </c>
      <c r="B154" s="1" t="s">
        <v>46</v>
      </c>
      <c r="C154" s="1" t="s">
        <v>61</v>
      </c>
      <c r="D154" s="1" t="s">
        <v>83</v>
      </c>
      <c r="E154" s="1">
        <v>26.19</v>
      </c>
      <c r="F154" s="1">
        <v>25.98</v>
      </c>
      <c r="G154" s="1">
        <v>25.62</v>
      </c>
      <c r="H154" s="1">
        <v>25.79</v>
      </c>
      <c r="I154" s="1">
        <v>25.72</v>
      </c>
      <c r="J154" s="1">
        <v>25.68</v>
      </c>
      <c r="K154" s="1">
        <v>26.15</v>
      </c>
      <c r="L154" s="1">
        <v>25.14</v>
      </c>
      <c r="M154" s="1">
        <v>26.27</v>
      </c>
      <c r="N154" s="1">
        <v>26.69</v>
      </c>
      <c r="O154" s="1">
        <v>26.48</v>
      </c>
      <c r="P154" s="1">
        <v>25.67</v>
      </c>
    </row>
    <row r="155" spans="1:16" x14ac:dyDescent="0.3">
      <c r="A155" s="1" t="s">
        <v>5</v>
      </c>
      <c r="B155" s="1" t="s">
        <v>47</v>
      </c>
      <c r="C155" s="1" t="s">
        <v>50</v>
      </c>
      <c r="D155" s="1" t="s">
        <v>83</v>
      </c>
      <c r="E155" s="1">
        <v>21.29</v>
      </c>
      <c r="F155" s="1">
        <v>21.53</v>
      </c>
      <c r="G155" s="1">
        <v>21.46</v>
      </c>
      <c r="H155" s="1">
        <v>21.37</v>
      </c>
      <c r="I155" s="1">
        <v>21.1</v>
      </c>
      <c r="J155" s="1">
        <v>21.23</v>
      </c>
      <c r="K155" s="1">
        <v>21.46</v>
      </c>
      <c r="L155" s="1">
        <v>20.99</v>
      </c>
      <c r="M155" s="1">
        <v>21.5</v>
      </c>
      <c r="N155" s="1">
        <v>21.62</v>
      </c>
      <c r="O155" s="1">
        <v>21.5</v>
      </c>
      <c r="P155" s="1"/>
    </row>
    <row r="156" spans="1:16" x14ac:dyDescent="0.3">
      <c r="A156" s="1" t="s">
        <v>5</v>
      </c>
      <c r="B156" s="1" t="s">
        <v>47</v>
      </c>
      <c r="C156" s="1" t="s">
        <v>72</v>
      </c>
      <c r="D156" s="1" t="s">
        <v>83</v>
      </c>
      <c r="E156" s="1">
        <v>138.24</v>
      </c>
      <c r="F156" s="1">
        <v>138.36000000000001</v>
      </c>
      <c r="G156" s="1">
        <v>137.88999999999999</v>
      </c>
      <c r="H156" s="1">
        <v>137.84</v>
      </c>
      <c r="I156" s="1">
        <v>137.91</v>
      </c>
      <c r="J156" s="1">
        <v>137.65</v>
      </c>
      <c r="K156" s="1">
        <v>138.47999999999999</v>
      </c>
      <c r="L156" s="1">
        <v>137.35</v>
      </c>
      <c r="M156" s="1">
        <v>138.9</v>
      </c>
      <c r="N156" s="1">
        <v>139.91999999999999</v>
      </c>
      <c r="O156" s="1">
        <v>138.85</v>
      </c>
      <c r="P156" s="1"/>
    </row>
    <row r="157" spans="1:16" x14ac:dyDescent="0.3">
      <c r="A157" s="1" t="s">
        <v>5</v>
      </c>
      <c r="B157" s="1" t="s">
        <v>47</v>
      </c>
      <c r="C157" s="1" t="s">
        <v>67</v>
      </c>
      <c r="D157" s="1" t="s">
        <v>83</v>
      </c>
      <c r="E157" s="1">
        <v>129.47</v>
      </c>
      <c r="F157" s="1">
        <v>129.35</v>
      </c>
      <c r="G157" s="1">
        <v>129.07</v>
      </c>
      <c r="H157" s="1">
        <v>129.33000000000001</v>
      </c>
      <c r="I157" s="1">
        <v>129.33000000000001</v>
      </c>
      <c r="J157" s="1">
        <v>129.12</v>
      </c>
      <c r="K157" s="1">
        <v>129.76</v>
      </c>
      <c r="L157" s="1">
        <v>128.88</v>
      </c>
      <c r="M157" s="1">
        <v>129.94</v>
      </c>
      <c r="N157" s="1">
        <v>130.58000000000001</v>
      </c>
      <c r="O157" s="1">
        <v>129.91</v>
      </c>
      <c r="P157" s="1"/>
    </row>
    <row r="158" spans="1:16" x14ac:dyDescent="0.3">
      <c r="A158" s="1" t="s">
        <v>5</v>
      </c>
      <c r="B158" s="1" t="s">
        <v>47</v>
      </c>
      <c r="C158" s="1" t="s">
        <v>68</v>
      </c>
      <c r="D158" s="1" t="s">
        <v>83</v>
      </c>
      <c r="E158" s="1">
        <v>128.71</v>
      </c>
      <c r="F158" s="1">
        <v>128.54</v>
      </c>
      <c r="G158" s="1">
        <v>128.26</v>
      </c>
      <c r="H158" s="1">
        <v>128.51</v>
      </c>
      <c r="I158" s="1">
        <v>128.56</v>
      </c>
      <c r="J158" s="1">
        <v>128.31</v>
      </c>
      <c r="K158" s="1">
        <v>129.03</v>
      </c>
      <c r="L158" s="1">
        <v>128.18</v>
      </c>
      <c r="M158" s="1">
        <v>129.22999999999999</v>
      </c>
      <c r="N158" s="1">
        <v>129.79</v>
      </c>
      <c r="O158" s="1">
        <v>129.19999999999999</v>
      </c>
      <c r="P158" s="1"/>
    </row>
    <row r="159" spans="1:16" x14ac:dyDescent="0.3">
      <c r="A159" s="1" t="s">
        <v>5</v>
      </c>
      <c r="B159" s="1" t="s">
        <v>47</v>
      </c>
      <c r="C159" s="1" t="s">
        <v>69</v>
      </c>
      <c r="D159" s="1" t="s">
        <v>83</v>
      </c>
      <c r="E159" s="1">
        <v>125.84</v>
      </c>
      <c r="F159" s="1">
        <v>125.62</v>
      </c>
      <c r="G159" s="1">
        <v>125.33</v>
      </c>
      <c r="H159" s="1">
        <v>125.66</v>
      </c>
      <c r="I159" s="1">
        <v>125.68</v>
      </c>
      <c r="J159" s="1">
        <v>125.43</v>
      </c>
      <c r="K159" s="1">
        <v>126.12</v>
      </c>
      <c r="L159" s="1">
        <v>125.29</v>
      </c>
      <c r="M159" s="1">
        <v>126.28</v>
      </c>
      <c r="N159" s="1">
        <v>126.82</v>
      </c>
      <c r="O159" s="1">
        <v>126.29</v>
      </c>
      <c r="P159" s="1"/>
    </row>
    <row r="160" spans="1:16" x14ac:dyDescent="0.3">
      <c r="A160" s="1" t="s">
        <v>5</v>
      </c>
      <c r="B160" s="1" t="s">
        <v>48</v>
      </c>
      <c r="C160" s="1" t="s">
        <v>50</v>
      </c>
      <c r="D160" s="1" t="s">
        <v>83</v>
      </c>
      <c r="E160" s="1">
        <v>12.51</v>
      </c>
      <c r="F160" s="1">
        <v>12.12</v>
      </c>
      <c r="G160" s="1">
        <v>11.61</v>
      </c>
      <c r="H160" s="1">
        <v>12.39</v>
      </c>
      <c r="I160" s="1">
        <v>12.35</v>
      </c>
      <c r="J160" s="1">
        <v>11.87</v>
      </c>
      <c r="K160" s="1">
        <v>12.49</v>
      </c>
      <c r="L160" s="1">
        <v>11.74</v>
      </c>
      <c r="M160" s="1">
        <v>12.38</v>
      </c>
      <c r="N160" s="1">
        <v>9.51</v>
      </c>
      <c r="O160" s="1">
        <v>11.09</v>
      </c>
      <c r="P160" s="1">
        <v>9.07</v>
      </c>
    </row>
    <row r="161" spans="1:16" x14ac:dyDescent="0.3">
      <c r="A161" s="1" t="s">
        <v>5</v>
      </c>
      <c r="B161" s="1" t="s">
        <v>48</v>
      </c>
      <c r="C161" s="1" t="s">
        <v>57</v>
      </c>
      <c r="D161" s="1" t="s">
        <v>83</v>
      </c>
      <c r="E161" s="1">
        <v>47.18</v>
      </c>
      <c r="F161" s="1">
        <v>46.75</v>
      </c>
      <c r="G161" s="1">
        <v>46.25</v>
      </c>
      <c r="H161" s="1">
        <v>46.82</v>
      </c>
      <c r="I161" s="1">
        <v>46.77</v>
      </c>
      <c r="J161" s="1">
        <v>46.36</v>
      </c>
      <c r="K161" s="1">
        <v>47.07</v>
      </c>
      <c r="L161" s="1">
        <v>45.74</v>
      </c>
      <c r="M161" s="1">
        <v>47.1</v>
      </c>
      <c r="N161" s="1">
        <v>48.45</v>
      </c>
      <c r="O161" s="1">
        <v>46.96</v>
      </c>
      <c r="P161" s="1">
        <v>47.19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A021-CDC1-4171-987B-DD811D77EDA1}">
  <dimension ref="A1:A49"/>
  <sheetViews>
    <sheetView workbookViewId="0">
      <selection activeCell="C9" sqref="C9"/>
    </sheetView>
  </sheetViews>
  <sheetFormatPr defaultRowHeight="14.4" x14ac:dyDescent="0.3"/>
  <cols>
    <col min="1" max="1" width="20.77734375" customWidth="1"/>
  </cols>
  <sheetData>
    <row r="1" spans="1:1" ht="15" thickBot="1" x14ac:dyDescent="0.35">
      <c r="A1" s="14" t="s">
        <v>119</v>
      </c>
    </row>
    <row r="2" spans="1:1" x14ac:dyDescent="0.3">
      <c r="A2" s="3" t="s">
        <v>82</v>
      </c>
    </row>
    <row r="3" spans="1:1" x14ac:dyDescent="0.3">
      <c r="A3" s="1" t="s">
        <v>7</v>
      </c>
    </row>
    <row r="4" spans="1:1" x14ac:dyDescent="0.3">
      <c r="A4" s="1" t="s">
        <v>8</v>
      </c>
    </row>
    <row r="5" spans="1:1" x14ac:dyDescent="0.3">
      <c r="A5" s="1" t="s">
        <v>9</v>
      </c>
    </row>
    <row r="6" spans="1:1" x14ac:dyDescent="0.3">
      <c r="A6" s="1" t="s">
        <v>10</v>
      </c>
    </row>
    <row r="7" spans="1:1" x14ac:dyDescent="0.3">
      <c r="A7" s="1" t="s">
        <v>106</v>
      </c>
    </row>
    <row r="8" spans="1:1" x14ac:dyDescent="0.3">
      <c r="A8" s="1" t="s">
        <v>15</v>
      </c>
    </row>
    <row r="9" spans="1:1" x14ac:dyDescent="0.3">
      <c r="A9" s="1" t="s">
        <v>16</v>
      </c>
    </row>
    <row r="10" spans="1:1" x14ac:dyDescent="0.3">
      <c r="A10" s="1" t="s">
        <v>17</v>
      </c>
    </row>
    <row r="11" spans="1:1" x14ac:dyDescent="0.3">
      <c r="A11" s="1" t="s">
        <v>18</v>
      </c>
    </row>
    <row r="12" spans="1:1" x14ac:dyDescent="0.3">
      <c r="A12" s="1" t="s">
        <v>19</v>
      </c>
    </row>
    <row r="13" spans="1:1" x14ac:dyDescent="0.3">
      <c r="A13" s="1" t="s">
        <v>20</v>
      </c>
    </row>
    <row r="14" spans="1:1" x14ac:dyDescent="0.3">
      <c r="A14" s="1" t="s">
        <v>21</v>
      </c>
    </row>
    <row r="15" spans="1:1" x14ac:dyDescent="0.3">
      <c r="A15" s="1" t="s">
        <v>22</v>
      </c>
    </row>
    <row r="16" spans="1:1" x14ac:dyDescent="0.3">
      <c r="A16" s="1" t="s">
        <v>23</v>
      </c>
    </row>
    <row r="17" spans="1:1" x14ac:dyDescent="0.3">
      <c r="A17" s="1" t="s">
        <v>24</v>
      </c>
    </row>
    <row r="18" spans="1:1" x14ac:dyDescent="0.3">
      <c r="A18" s="1" t="s">
        <v>25</v>
      </c>
    </row>
    <row r="19" spans="1:1" x14ac:dyDescent="0.3">
      <c r="A19" s="1" t="s">
        <v>26</v>
      </c>
    </row>
    <row r="20" spans="1:1" x14ac:dyDescent="0.3">
      <c r="A20" s="1" t="s">
        <v>27</v>
      </c>
    </row>
    <row r="21" spans="1:1" x14ac:dyDescent="0.3">
      <c r="A21" s="1" t="s">
        <v>28</v>
      </c>
    </row>
    <row r="22" spans="1:1" x14ac:dyDescent="0.3">
      <c r="A22" s="1" t="s">
        <v>29</v>
      </c>
    </row>
    <row r="23" spans="1:1" x14ac:dyDescent="0.3">
      <c r="A23" s="1" t="s">
        <v>116</v>
      </c>
    </row>
    <row r="24" spans="1:1" x14ac:dyDescent="0.3">
      <c r="A24" s="1" t="s">
        <v>30</v>
      </c>
    </row>
    <row r="25" spans="1:1" x14ac:dyDescent="0.3">
      <c r="A25" s="1" t="s">
        <v>31</v>
      </c>
    </row>
    <row r="26" spans="1:1" x14ac:dyDescent="0.3">
      <c r="A26" s="1" t="s">
        <v>32</v>
      </c>
    </row>
    <row r="27" spans="1:1" x14ac:dyDescent="0.3">
      <c r="A27" s="1" t="s">
        <v>91</v>
      </c>
    </row>
    <row r="28" spans="1:1" x14ac:dyDescent="0.3">
      <c r="A28" s="1" t="s">
        <v>93</v>
      </c>
    </row>
    <row r="29" spans="1:1" x14ac:dyDescent="0.3">
      <c r="A29" s="1" t="s">
        <v>34</v>
      </c>
    </row>
    <row r="30" spans="1:1" x14ac:dyDescent="0.3">
      <c r="A30" s="1" t="s">
        <v>35</v>
      </c>
    </row>
    <row r="31" spans="1:1" x14ac:dyDescent="0.3">
      <c r="A31" s="1" t="s">
        <v>36</v>
      </c>
    </row>
    <row r="32" spans="1:1" x14ac:dyDescent="0.3">
      <c r="A32" s="1" t="s">
        <v>37</v>
      </c>
    </row>
    <row r="33" spans="1:1" x14ac:dyDescent="0.3">
      <c r="A33" s="1" t="s">
        <v>38</v>
      </c>
    </row>
    <row r="34" spans="1:1" x14ac:dyDescent="0.3">
      <c r="A34" s="1" t="s">
        <v>39</v>
      </c>
    </row>
    <row r="35" spans="1:1" x14ac:dyDescent="0.3">
      <c r="A35" s="1" t="s">
        <v>40</v>
      </c>
    </row>
    <row r="36" spans="1:1" x14ac:dyDescent="0.3">
      <c r="A36" s="1" t="s">
        <v>41</v>
      </c>
    </row>
    <row r="37" spans="1:1" x14ac:dyDescent="0.3">
      <c r="A37" s="1" t="s">
        <v>42</v>
      </c>
    </row>
    <row r="38" spans="1:1" x14ac:dyDescent="0.3">
      <c r="A38" s="1" t="s">
        <v>43</v>
      </c>
    </row>
    <row r="39" spans="1:1" x14ac:dyDescent="0.3">
      <c r="A39" s="1" t="s">
        <v>117</v>
      </c>
    </row>
    <row r="40" spans="1:1" x14ac:dyDescent="0.3">
      <c r="A40" s="1" t="s">
        <v>45</v>
      </c>
    </row>
    <row r="41" spans="1:1" x14ac:dyDescent="0.3">
      <c r="A41" s="1" t="s">
        <v>46</v>
      </c>
    </row>
    <row r="42" spans="1:1" x14ac:dyDescent="0.3">
      <c r="A42" s="1" t="s">
        <v>47</v>
      </c>
    </row>
    <row r="43" spans="1:1" x14ac:dyDescent="0.3">
      <c r="A43" s="1" t="s">
        <v>48</v>
      </c>
    </row>
    <row r="44" spans="1:1" x14ac:dyDescent="0.3">
      <c r="A44" s="1" t="s">
        <v>11</v>
      </c>
    </row>
    <row r="45" spans="1:1" x14ac:dyDescent="0.3">
      <c r="A45" s="1" t="s">
        <v>12</v>
      </c>
    </row>
    <row r="46" spans="1:1" x14ac:dyDescent="0.3">
      <c r="A46" s="1" t="s">
        <v>13</v>
      </c>
    </row>
    <row r="47" spans="1:1" x14ac:dyDescent="0.3">
      <c r="A47" s="1" t="s">
        <v>14</v>
      </c>
    </row>
    <row r="48" spans="1:1" x14ac:dyDescent="0.3">
      <c r="A48" s="1" t="s">
        <v>33</v>
      </c>
    </row>
    <row r="49" spans="1:1" x14ac:dyDescent="0.3">
      <c r="A49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Peak Matcher</vt:lpstr>
      <vt:lpstr>Shift Table</vt:lpstr>
      <vt:lpstr>Compound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Powell</cp:lastModifiedBy>
  <dcterms:created xsi:type="dcterms:W3CDTF">2026-06-03T11:01:14Z</dcterms:created>
  <dcterms:modified xsi:type="dcterms:W3CDTF">2026-06-09T07:48:59Z</dcterms:modified>
</cp:coreProperties>
</file>